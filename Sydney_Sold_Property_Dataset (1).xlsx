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iddhisharma/Desktop/distinction_ml/"/>
    </mc:Choice>
  </mc:AlternateContent>
  <xr:revisionPtr revIDLastSave="0" documentId="13_ncr:1_{A0667BDA-CDFC-9049-ABB4-3B601970A33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ummary" sheetId="1" r:id="rId1"/>
    <sheet name="Sold Propert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F8" i="1"/>
  <c r="E8" i="1"/>
  <c r="D8" i="1"/>
  <c r="C8" i="1"/>
  <c r="F7" i="1"/>
  <c r="E7" i="1"/>
  <c r="D7" i="1"/>
  <c r="C7" i="1"/>
  <c r="F6" i="1"/>
  <c r="E6" i="1"/>
  <c r="D6" i="1"/>
  <c r="C6" i="1"/>
</calcChain>
</file>

<file path=xl/sharedStrings.xml><?xml version="1.0" encoding="utf-8"?>
<sst xmlns="http://schemas.openxmlformats.org/spreadsheetml/2006/main" count="649" uniqueCount="254">
  <si>
    <t>Sydney Sold Property Dataset</t>
  </si>
  <si>
    <t>Suburb</t>
  </si>
  <si>
    <t>Market profile</t>
  </si>
  <si>
    <t>Properties</t>
  </si>
  <si>
    <t>Average sold price</t>
  </si>
  <si>
    <t>Lowest sold price</t>
  </si>
  <si>
    <t>Highest sold price</t>
  </si>
  <si>
    <t>Mosman</t>
  </si>
  <si>
    <t>Premium Lower North Shore market</t>
  </si>
  <si>
    <t>Parramatta</t>
  </si>
  <si>
    <t>High-density metropolitan centre</t>
  </si>
  <si>
    <t>Penrith</t>
  </si>
  <si>
    <t>More affordable outer-western market</t>
  </si>
  <si>
    <t>Dataset checks</t>
  </si>
  <si>
    <t>Total properties</t>
  </si>
  <si>
    <t>Minimum required</t>
  </si>
  <si>
    <t>Source</t>
  </si>
  <si>
    <t>ID</t>
  </si>
  <si>
    <t>Address</t>
  </si>
  <si>
    <t>State</t>
  </si>
  <si>
    <t>Postcode</t>
  </si>
  <si>
    <t>Sold Date</t>
  </si>
  <si>
    <t>Property Type</t>
  </si>
  <si>
    <t>Bedrooms</t>
  </si>
  <si>
    <t>Bathrooms</t>
  </si>
  <si>
    <t>Car Spaces</t>
  </si>
  <si>
    <t>Land Size (m²)</t>
  </si>
  <si>
    <t>Building Size (m²)</t>
  </si>
  <si>
    <t>Listing Source URL</t>
  </si>
  <si>
    <t>Results Page URL</t>
  </si>
  <si>
    <t>Has Parking</t>
  </si>
  <si>
    <t>Approx. Distance to Sydney CBD (km)</t>
  </si>
  <si>
    <t>Has Pool</t>
  </si>
  <si>
    <t>Year Built</t>
  </si>
  <si>
    <t>313/88 Vista Street</t>
  </si>
  <si>
    <t>NSW</t>
  </si>
  <si>
    <t>Apartment</t>
  </si>
  <si>
    <t>https://www.realestate.com.au/sold/property-apartment-nsw-mosman-152164336</t>
  </si>
  <si>
    <t>https://www.realestate.com.au/sold/in-mosman,+nsw+2088/list-1</t>
  </si>
  <si>
    <t>8/88 Avenue Road</t>
  </si>
  <si>
    <t>https://www.realestate.com.au/sold/property-apartment-nsw-mosman-152106856</t>
  </si>
  <si>
    <t>7/10 Muston Street</t>
  </si>
  <si>
    <t>https://www.realestate.com.au/sold/property-apartment-nsw-mosman-152160876</t>
  </si>
  <si>
    <t>13/5 The Esplanade</t>
  </si>
  <si>
    <t>https://www.realestate.com.au/sold/property-apartment-nsw-mosman-151967096</t>
  </si>
  <si>
    <t>G05/15-25 Myahgah Road</t>
  </si>
  <si>
    <t>https://www.realestate.com.au/sold/property-apartment-nsw-mosman-151988036</t>
  </si>
  <si>
    <t>3/17 Milner Street</t>
  </si>
  <si>
    <t>https://www.realestate.com.au/sold/property-apartment-nsw-mosman-151579300</t>
  </si>
  <si>
    <t>111/116 Belmont Road</t>
  </si>
  <si>
    <t>https://www.realestate.com.au/sold/property-apartment-nsw-mosman-151841804</t>
  </si>
  <si>
    <t>4/139-153 Middle Head Road</t>
  </si>
  <si>
    <t>https://www.realestate.com.au/sold/property-apartment-nsw-mosman-151781284</t>
  </si>
  <si>
    <t>14/669 Military Road</t>
  </si>
  <si>
    <t>https://www.realestate.com.au/sold/property-apartment-nsw-mosman-151600636</t>
  </si>
  <si>
    <t>9/71 Avenue Road</t>
  </si>
  <si>
    <t>https://www.realestate.com.au/sold/property-apartment-nsw-mosman-151799252</t>
  </si>
  <si>
    <t>3/6 Brierley Street</t>
  </si>
  <si>
    <t>https://www.realestate.com.au/sold/property-apartment-nsw-mosman-151332820</t>
  </si>
  <si>
    <t>11/23 Warringah Road</t>
  </si>
  <si>
    <t>https://www.realestate.com.au/sold/property-apartment-nsw-mosman-151728984</t>
  </si>
  <si>
    <t>142/15 Hale Road</t>
  </si>
  <si>
    <t>Retirement living</t>
  </si>
  <si>
    <t>https://www.realestate.com.au/sold/property-retirement+living-nsw-mosman-151189284</t>
  </si>
  <si>
    <t>5 Botanic Road</t>
  </si>
  <si>
    <t>House</t>
  </si>
  <si>
    <t>https://www.realestate.com.au/sold/property-house-nsw-mosman-150195184</t>
  </si>
  <si>
    <t>8/6 Punch Street</t>
  </si>
  <si>
    <t>https://www.realestate.com.au/sold/property-apartment-nsw-mosman-151449168</t>
  </si>
  <si>
    <t>4/3 Millett Road</t>
  </si>
  <si>
    <t>https://www.realestate.com.au/sold/property-apartment-nsw-mosman-151472668</t>
  </si>
  <si>
    <t>7/154 Raglan Street</t>
  </si>
  <si>
    <t>Unit</t>
  </si>
  <si>
    <t>https://www.realestate.com.au/sold/property-unit-nsw-mosman-151380692</t>
  </si>
  <si>
    <t>20/96 Ourimbah Road</t>
  </si>
  <si>
    <t>https://www.realestate.com.au/sold/property-apartment-nsw-mosman-151578736</t>
  </si>
  <si>
    <t>4/125 Raglan Street</t>
  </si>
  <si>
    <t>https://www.realestate.com.au/sold/property-apartment-nsw-mosman-151333344</t>
  </si>
  <si>
    <t>22/96 Ourimbah Road</t>
  </si>
  <si>
    <t>https://www.realestate.com.au/sold/property-apartment-nsw-mosman-151263404</t>
  </si>
  <si>
    <t>31/2B Brady Street</t>
  </si>
  <si>
    <t>https://www.realestate.com.au/sold/property-apartment-nsw-mosman-151139368</t>
  </si>
  <si>
    <t>5B/699 Military Road</t>
  </si>
  <si>
    <t>https://www.realestate.com.au/sold/property-apartment-nsw-mosman-151376824</t>
  </si>
  <si>
    <t>2/184 Raglan Street</t>
  </si>
  <si>
    <t>https://www.realestate.com.au/sold/property-apartment-nsw-mosman-151410080</t>
  </si>
  <si>
    <t>10/116 Belmont Road</t>
  </si>
  <si>
    <t>Townhouse</t>
  </si>
  <si>
    <t>https://www.realestate.com.au/sold/property-townhouse-nsw-mosman-150433716</t>
  </si>
  <si>
    <t>16/5 The Esplanade</t>
  </si>
  <si>
    <t>https://www.realestate.com.au/sold/property-apartment-nsw-mosman-151137084</t>
  </si>
  <si>
    <t>105 Holt Avenue</t>
  </si>
  <si>
    <t>https://www.realestate.com.au/sold/property-house-nsw-mosman-151124468</t>
  </si>
  <si>
    <t>https://www.realestate.com.au/sold/in-mosman,+nsw+2088/list-2</t>
  </si>
  <si>
    <t>3/1A Oswald Street</t>
  </si>
  <si>
    <t>https://www.realestate.com.au/sold/property-apartment-nsw-mosman-150626336</t>
  </si>
  <si>
    <t>96 Glover Street</t>
  </si>
  <si>
    <t>https://www.realestate.com.au/sold/property-house-nsw-mosman-150415760</t>
  </si>
  <si>
    <t>17/22 Mosman Street</t>
  </si>
  <si>
    <t>https://www.realestate.com.au/sold/property-apartment-nsw-mosman-151336940</t>
  </si>
  <si>
    <t>28 (Lot 27/9 Mandolong Road</t>
  </si>
  <si>
    <t>https://www.realestate.com.au/sold/property-apartment-nsw-mosman-148836792</t>
  </si>
  <si>
    <t>12/22 Warringah Road</t>
  </si>
  <si>
    <t>https://www.realestate.com.au/sold/property-apartment-nsw-mosman-150833140</t>
  </si>
  <si>
    <t>32B/2 Brady Street</t>
  </si>
  <si>
    <t>https://www.realestate.com.au/sold/property-apartment-nsw-mosman-150833828</t>
  </si>
  <si>
    <t>7/8 Earl Street</t>
  </si>
  <si>
    <t>https://www.realestate.com.au/sold/property-apartment-nsw-mosman-149969460</t>
  </si>
  <si>
    <t>27/102 Spit Road</t>
  </si>
  <si>
    <t>https://www.realestate.com.au/sold/property-apartment-nsw-mosman-150495412</t>
  </si>
  <si>
    <t>4/44-50 Thomas Street</t>
  </si>
  <si>
    <t>https://www.realestate.com.au/sold/property-townhouse-nsw-parramatta-151828280</t>
  </si>
  <si>
    <t>https://www.realestate.com.au/sold/in-parramatta,+nsw+2150/list-1</t>
  </si>
  <si>
    <t>2315/45 Macquarie Street</t>
  </si>
  <si>
    <t>https://www.realestate.com.au/sold/property-apartment-nsw-parramatta-151827580</t>
  </si>
  <si>
    <t>641/180 George Street</t>
  </si>
  <si>
    <t>https://www.realestate.com.au/sold/property-apartment-nsw-parramatta-151935728</t>
  </si>
  <si>
    <t>1/3 Stewart Street</t>
  </si>
  <si>
    <t>https://www.realestate.com.au/sold/property-unit-nsw-parramatta-151399288</t>
  </si>
  <si>
    <t>610/36-46 Cowper Street</t>
  </si>
  <si>
    <t>https://www.realestate.com.au/sold/property-apartment-nsw-parramatta-151926176</t>
  </si>
  <si>
    <t>2/16 Betts Street</t>
  </si>
  <si>
    <t>https://www.realestate.com.au/sold/property-apartment-nsw-parramatta-152003760</t>
  </si>
  <si>
    <t>820K/2 Morton Street</t>
  </si>
  <si>
    <t>https://www.realestate.com.au/sold/property-apartment-nsw-parramatta-150751124</t>
  </si>
  <si>
    <t>33/68 Great Western Highway</t>
  </si>
  <si>
    <t>https://www.realestate.com.au/sold/property-apartment-nsw-parramatta-151592404</t>
  </si>
  <si>
    <t>15/12 Early Street</t>
  </si>
  <si>
    <t>https://www.realestate.com.au/sold/property-unit-nsw-parramatta-151714228</t>
  </si>
  <si>
    <t>505/23 Hassall Street</t>
  </si>
  <si>
    <t>https://www.realestate.com.au/sold/property-apartment-nsw-parramatta-150842492</t>
  </si>
  <si>
    <t>1702/45 Macquarie Street</t>
  </si>
  <si>
    <t>https://www.realestate.com.au/sold/property-apartment-nsw-parramatta-150509384</t>
  </si>
  <si>
    <t>89/459-463 Church Street</t>
  </si>
  <si>
    <t>https://www.realestate.com.au/sold/property-apartment-nsw-parramatta-149706980</t>
  </si>
  <si>
    <t>8/64-66 Great Western Highway</t>
  </si>
  <si>
    <t>https://www.realestate.com.au/sold/property-apartment-nsw-parramatta-152041592</t>
  </si>
  <si>
    <t>10/4 Peace Lane</t>
  </si>
  <si>
    <t>https://www.realestate.com.au/sold/property-apartment-nsw-parramatta-151028024</t>
  </si>
  <si>
    <t>1/18 Early Street</t>
  </si>
  <si>
    <t>https://www.realestate.com.au/sold/property-unit-nsw-parramatta-152000252</t>
  </si>
  <si>
    <t>9/178 George Street</t>
  </si>
  <si>
    <t>https://www.realestate.com.au/sold/property-apartment-nsw-parramatta-152037172</t>
  </si>
  <si>
    <t>17/10-12 Thomas Street</t>
  </si>
  <si>
    <t>https://www.realestate.com.au/sold/property-unit-nsw-parramatta-152083100</t>
  </si>
  <si>
    <t>3/23 Good Street</t>
  </si>
  <si>
    <t>https://www.realestate.com.au/sold/property-unit-nsw-parramatta-151176568</t>
  </si>
  <si>
    <t>401/6 River Road West</t>
  </si>
  <si>
    <t>https://www.realestate.com.au/sold/property-apartment-nsw-parramatta-151624544</t>
  </si>
  <si>
    <t>5/30-32 Queens Avenue</t>
  </si>
  <si>
    <t>https://www.realestate.com.au/sold/property-apartment-nsw-parramatta-151649792</t>
  </si>
  <si>
    <t>11/32 Hassall Street</t>
  </si>
  <si>
    <t>https://www.realestate.com.au/sold/property-apartment-nsw-parramatta-151527340</t>
  </si>
  <si>
    <t>C26/88-98 Marsden Street</t>
  </si>
  <si>
    <t>https://www.realestate.com.au/sold/property-unit-nsw-parramatta-151576280</t>
  </si>
  <si>
    <t>15/1 Good Street</t>
  </si>
  <si>
    <t>https://www.realestate.com.au/sold/property-apartment-nsw-parramatta-150473796</t>
  </si>
  <si>
    <t>907/6-10 Charles Street</t>
  </si>
  <si>
    <t>https://www.realestate.com.au/sold/property-apartment-nsw-parramatta-151973256</t>
  </si>
  <si>
    <t>D603/1 Broughton Street</t>
  </si>
  <si>
    <t>https://www.realestate.com.au/sold/property-apartment-nsw-parramatta-151893972</t>
  </si>
  <si>
    <t>1417/32 Hunter Street (AKA 1417/45 Macquarie St)</t>
  </si>
  <si>
    <t>https://www.realestate.com.au/sold/property-apartment-nsw-parramatta-149992300</t>
  </si>
  <si>
    <t>https://www.realestate.com.au/sold/in-parramatta,+nsw+2150/list-2</t>
  </si>
  <si>
    <t>16L/15 Campbell Street</t>
  </si>
  <si>
    <t>https://www.realestate.com.au/sold/property-apartment-nsw-parramatta-151956248</t>
  </si>
  <si>
    <t>805/21 Hassall Street</t>
  </si>
  <si>
    <t>https://www.realestate.com.au/sold/property-apartment-nsw-parramatta-150177508</t>
  </si>
  <si>
    <t>230/1 Valentine Avenue</t>
  </si>
  <si>
    <t>Studio</t>
  </si>
  <si>
    <t>https://www.realestate.com.au/sold/property-studio-nsw-parramatta-150810216</t>
  </si>
  <si>
    <t>1502/88 Church Street</t>
  </si>
  <si>
    <t>https://www.realestate.com.au/sold/property-apartment-nsw-parramatta-151713296</t>
  </si>
  <si>
    <t>41/3 Good Street</t>
  </si>
  <si>
    <t>https://www.realestate.com.au/sold/property-apartment-nsw-parramatta-151643420</t>
  </si>
  <si>
    <t>219/88 Church Street</t>
  </si>
  <si>
    <t>https://www.realestate.com.au/sold/property-apartment-nsw-parramatta-151458016</t>
  </si>
  <si>
    <t>401/8 River Road</t>
  </si>
  <si>
    <t>https://www.realestate.com.au/sold/property-apartment-nsw-parramatta-150842684</t>
  </si>
  <si>
    <t>11/22-24 Tennyson Street</t>
  </si>
  <si>
    <t>https://www.realestate.com.au/sold/property-apartment-nsw-parramatta-150736304</t>
  </si>
  <si>
    <t>3/151-153 Cox Avenue</t>
  </si>
  <si>
    <t>https://www.realestate.com.au/sold/property-townhouse-nsw-penrith-151712284</t>
  </si>
  <si>
    <t>https://www.realestate.com.au/sold/in-penrith,+nsw+2750/list-1</t>
  </si>
  <si>
    <t>303/101C Lord Sheffield Circuit</t>
  </si>
  <si>
    <t>https://www.realestate.com.au/sold/property-unit-nsw-penrith-150548572</t>
  </si>
  <si>
    <t>7/126 Derby Street</t>
  </si>
  <si>
    <t>https://www.realestate.com.au/sold/property-townhouse-nsw-penrith-152236532</t>
  </si>
  <si>
    <t>702/81B Lord Sheffield Circuit</t>
  </si>
  <si>
    <t>https://www.realestate.com.au/sold/property-apartment-nsw-penrith-151406796</t>
  </si>
  <si>
    <t>11/282 High Street</t>
  </si>
  <si>
    <t>https://www.realestate.com.au/sold/property-apartment-nsw-penrith-151922136</t>
  </si>
  <si>
    <t>6/5 lemongrove road</t>
  </si>
  <si>
    <t>https://www.realestate.com.au/sold/property-unit-nsw-penrith-151813648</t>
  </si>
  <si>
    <t>3/8 Macquarie Avenue</t>
  </si>
  <si>
    <t>https://www.realestate.com.au/sold/property-apartment-nsw-penrith-151830116</t>
  </si>
  <si>
    <t>310/26B Lord Sheffield Circuit</t>
  </si>
  <si>
    <t>https://www.realestate.com.au/sold/property-apartment-nsw-penrith-151468068</t>
  </si>
  <si>
    <t>40 Bel-air Road</t>
  </si>
  <si>
    <t>https://www.realestate.com.au/sold/property-house-nsw-penrith-151504664</t>
  </si>
  <si>
    <t>25/132 Lethbridge Street</t>
  </si>
  <si>
    <t>https://www.realestate.com.au/sold/property-unit-nsw-penrith-151857640</t>
  </si>
  <si>
    <t>17/171 Derby Street</t>
  </si>
  <si>
    <t>https://www.realestate.com.au/sold/property-unit-nsw-penrith-151859972</t>
  </si>
  <si>
    <t>629/1-39 Lord Sheffield Circuit</t>
  </si>
  <si>
    <t>https://www.realestate.com.au/sold/property-apartment-nsw-penrith-151625820</t>
  </si>
  <si>
    <t>10/53-55 King Street</t>
  </si>
  <si>
    <t>https://www.realestate.com.au/sold/property-unit-nsw-penrith-151849172</t>
  </si>
  <si>
    <t>9/13-19 Robert Street</t>
  </si>
  <si>
    <t>https://www.realestate.com.au/sold/property-unit-nsw-penrith-151791156</t>
  </si>
  <si>
    <t>212/2B Lord Sheffield Circuit</t>
  </si>
  <si>
    <t>https://www.realestate.com.au/sold/property-studio-nsw-penrith-150674864</t>
  </si>
  <si>
    <t>5/209 Derby Street</t>
  </si>
  <si>
    <t>https://www.realestate.com.au/sold/property-unit-nsw-penrith-151936864</t>
  </si>
  <si>
    <t>102/1 Markham Avenue</t>
  </si>
  <si>
    <t>https://www.realestate.com.au/sold/property-unit-nsw-penrith-151806552</t>
  </si>
  <si>
    <t>16  Bel-air Road</t>
  </si>
  <si>
    <t>https://www.realestate.com.au/sold/property-house-nsw-penrith-151704284</t>
  </si>
  <si>
    <t>6/132 Coreen Avenue</t>
  </si>
  <si>
    <t>https://www.realestate.com.au/sold/property-townhouse-nsw-penrith-151761636</t>
  </si>
  <si>
    <t>1/9-11 Thurston Street</t>
  </si>
  <si>
    <t>https://www.realestate.com.au/sold/property-townhouse-nsw-penrith-151782340</t>
  </si>
  <si>
    <t>6 Karuah Road</t>
  </si>
  <si>
    <t>https://www.realestate.com.au/sold/property-house-nsw-penrith-150240876</t>
  </si>
  <si>
    <t>10/83-85 Union Road</t>
  </si>
  <si>
    <t>https://www.realestate.com.au/sold/property-apartment-nsw-penrith-151716076</t>
  </si>
  <si>
    <t>5/90 Lethbridge Street</t>
  </si>
  <si>
    <t>Villa</t>
  </si>
  <si>
    <t>https://www.realestate.com.au/sold/property-villa-nsw-penrith-151842460</t>
  </si>
  <si>
    <t>2/165-169  Derby Street</t>
  </si>
  <si>
    <t>https://www.realestate.com.au/sold/property-unit-nsw-penrith-151158192</t>
  </si>
  <si>
    <t>1/29 Lethbridge Street</t>
  </si>
  <si>
    <t>https://www.realestate.com.au/sold/property-unit-nsw-penrith-150811352</t>
  </si>
  <si>
    <t>2/12 Thurston Street</t>
  </si>
  <si>
    <t>https://www.realestate.com.au/sold/property-apartment-nsw-penrith-151635148</t>
  </si>
  <si>
    <t>https://www.realestate.com.au/sold/in-penrith,+nsw+2750/list-2</t>
  </si>
  <si>
    <t>5/90-92 Cox Avenue</t>
  </si>
  <si>
    <t>https://www.realestate.com.au/sold/property-townhouse-nsw-penrith-151815156</t>
  </si>
  <si>
    <t>203/1 Markham Avenue</t>
  </si>
  <si>
    <t>https://www.realestate.com.au/sold/property-apartment-nsw-penrith-151850280</t>
  </si>
  <si>
    <t>28 Cooper Street</t>
  </si>
  <si>
    <t>https://www.realestate.com.au/sold/property-house-nsw-penrith-151309356</t>
  </si>
  <si>
    <t>178A Derby Street</t>
  </si>
  <si>
    <t>https://www.realestate.com.au/sold/property-house-nsw-penrith-151656348</t>
  </si>
  <si>
    <t>408/10B Premiership Close</t>
  </si>
  <si>
    <t>https://www.realestate.com.au/sold/property-apartment-nsw-penrith-151305192</t>
  </si>
  <si>
    <t>405/2C Lord Sheffield Circuit</t>
  </si>
  <si>
    <t>https://www.realestate.com.au/sold/property-apartment-nsw-penrith-151334552</t>
  </si>
  <si>
    <t>16 Burrows Street</t>
  </si>
  <si>
    <t>https://www.realestate.com.au/sold/property-house-nsw-penrith-151707028</t>
  </si>
  <si>
    <t>8 Cudgee Road</t>
  </si>
  <si>
    <t>https://www.realestate.com.au/sold/property-house-nsw-penrith-151444020</t>
  </si>
  <si>
    <t>Sold Price (AUD) - TARGET</t>
  </si>
  <si>
    <t xml:space="preserve">                                realestate.com.au sold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</si>
</sst>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dd\ mmm\ yyyy"/>
    <numFmt numFmtId="166" formatCode="0.0"/>
  </numFmts>
  <fonts count="6">
    <font>
      <sz val="11"/>
      <name val="Carlito"/>
    </font>
    <font>
      <b/>
      <sz val="15"/>
      <color rgb="FF17365D"/>
      <name val="Aptos Display"/>
    </font>
    <font>
      <b/>
      <sz val="10"/>
      <color rgb="FFFFFFFF"/>
      <name val="Aptos"/>
    </font>
    <font>
      <sz val="10"/>
      <color rgb="FF1F2937"/>
      <name val="Aptos"/>
    </font>
    <font>
      <b/>
      <sz val="10"/>
      <color rgb="FF17365D"/>
      <name val="Aptos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5" fillId="0" borderId="0" xfId="1" applyAlignment="1">
      <alignment vertical="center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dPropertyData" displayName="SoldPropertyData" ref="A1:S103" totalsRowShown="0">
  <tableColumns count="19">
    <tableColumn id="1" xr3:uid="{00000000-0010-0000-0000-000001000000}" name="ID"/>
    <tableColumn id="2" xr3:uid="{00000000-0010-0000-0000-000002000000}" name="Address"/>
    <tableColumn id="3" xr3:uid="{00000000-0010-0000-0000-000003000000}" name="Suburb"/>
    <tableColumn id="4" xr3:uid="{00000000-0010-0000-0000-000004000000}" name="State"/>
    <tableColumn id="5" xr3:uid="{00000000-0010-0000-0000-000005000000}" name="Postcode"/>
    <tableColumn id="25" xr3:uid="{00000000-0010-0000-0000-000019000000}" name="Year Built" dataDxfId="4"/>
    <tableColumn id="6" xr3:uid="{00000000-0010-0000-0000-000006000000}" name="Sold Price (AUD) - TARGET"/>
    <tableColumn id="7" xr3:uid="{00000000-0010-0000-0000-000007000000}" name="Sold Date"/>
    <tableColumn id="8" xr3:uid="{00000000-0010-0000-0000-000008000000}" name="Property Type"/>
    <tableColumn id="9" xr3:uid="{00000000-0010-0000-0000-000009000000}" name="Bedrooms"/>
    <tableColumn id="10" xr3:uid="{00000000-0010-0000-0000-00000A000000}" name="Bathrooms"/>
    <tableColumn id="19" xr3:uid="{00000000-0010-0000-0000-000013000000}" name="Has Parking" dataDxfId="3"/>
    <tableColumn id="11" xr3:uid="{00000000-0010-0000-0000-00000B000000}" name="Car Spaces"/>
    <tableColumn id="12" xr3:uid="{00000000-0010-0000-0000-00000C000000}" name="Land Size (m²)"/>
    <tableColumn id="13" xr3:uid="{00000000-0010-0000-0000-00000D000000}" name="Building Size (m²)"/>
    <tableColumn id="23" xr3:uid="{00000000-0010-0000-0000-000017000000}" name="Approx. Distance to Sydney CBD (km)" dataDxfId="2"/>
    <tableColumn id="24" xr3:uid="{00000000-0010-0000-0000-000018000000}" name="Has Pool" dataDxfId="1"/>
    <tableColumn id="14" xr3:uid="{00000000-0010-0000-0000-00000E000000}" name="Listing Source URL"/>
    <tableColumn id="15" xr3:uid="{00000000-0010-0000-0000-00000F000000}" name="Results Page 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realestate.com.au/sold/property-apartment-nsw-mosman-151600636" TargetMode="External"/><Relationship Id="rId1" Type="http://schemas.openxmlformats.org/officeDocument/2006/relationships/hyperlink" Target="https://www.realestate.com.au/sold/property-retirement+living-nsw-mosman-151189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F17"/>
  <sheetViews>
    <sheetView showGridLines="0" tabSelected="1" workbookViewId="0">
      <selection activeCell="B18" sqref="B18"/>
    </sheetView>
  </sheetViews>
  <sheetFormatPr baseColWidth="10" defaultColWidth="8.83203125" defaultRowHeight="14"/>
  <cols>
    <col min="1" max="1" width="17" customWidth="1"/>
    <col min="2" max="2" width="34" customWidth="1"/>
    <col min="3" max="3" width="14" customWidth="1"/>
    <col min="4" max="6" width="19" customWidth="1"/>
  </cols>
  <sheetData>
    <row r="1" spans="1:6">
      <c r="A1" s="2"/>
      <c r="B1" s="2"/>
      <c r="C1" s="2"/>
      <c r="D1" s="2"/>
      <c r="E1" s="2"/>
      <c r="F1" s="2"/>
    </row>
    <row r="2" spans="1:6" ht="20">
      <c r="A2" s="3" t="s">
        <v>0</v>
      </c>
      <c r="B2" s="3"/>
      <c r="C2" s="3"/>
      <c r="D2" s="3"/>
      <c r="E2" s="3"/>
      <c r="F2" s="3"/>
    </row>
    <row r="3" spans="1:6">
      <c r="A3" s="4"/>
      <c r="B3" s="4"/>
      <c r="C3" s="4"/>
      <c r="D3" s="4"/>
      <c r="E3" s="4"/>
      <c r="F3" s="4"/>
    </row>
    <row r="4" spans="1:6">
      <c r="A4" s="2"/>
      <c r="B4" s="2"/>
      <c r="C4" s="2"/>
      <c r="D4" s="2"/>
      <c r="E4" s="2"/>
      <c r="F4" s="2"/>
    </row>
    <row r="5" spans="1:6" ht="1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>
      <c r="A6" s="5" t="s">
        <v>7</v>
      </c>
      <c r="B6" s="5" t="s">
        <v>8</v>
      </c>
      <c r="C6" s="6">
        <f>COUNTIF('Sold Properties'!$C$2:$C$103,A6)</f>
        <v>34</v>
      </c>
      <c r="D6" s="7">
        <f>AVERAGEIF('Sold Properties'!$C$2:$C$103,A6,'Sold Properties'!$G$2:$G$103)</f>
        <v>1762926.4705882352</v>
      </c>
      <c r="E6" s="7">
        <f>_xlfn.MINIFS('Sold Properties'!$G$2:$G$103,'Sold Properties'!$C$2:$C$103,A6)</f>
        <v>700000</v>
      </c>
      <c r="F6" s="7">
        <f>_xlfn.MAXIFS('Sold Properties'!$G$2:$G$103,'Sold Properties'!$C$2:$C$103,A6)</f>
        <v>8700000</v>
      </c>
    </row>
    <row r="7" spans="1:6">
      <c r="A7" s="8" t="s">
        <v>9</v>
      </c>
      <c r="B7" s="8" t="s">
        <v>10</v>
      </c>
      <c r="C7" s="9">
        <f>COUNTIF('Sold Properties'!$C$2:$C$103,A7)</f>
        <v>34</v>
      </c>
      <c r="D7" s="10">
        <f>AVERAGEIF('Sold Properties'!$C$2:$C$103,A7,'Sold Properties'!$G$2:$G$103)</f>
        <v>578852.9411764706</v>
      </c>
      <c r="E7" s="10">
        <f>_xlfn.MINIFS('Sold Properties'!$G$2:$G$103,'Sold Properties'!$C$2:$C$103,A7)</f>
        <v>200000</v>
      </c>
      <c r="F7" s="10">
        <f>_xlfn.MAXIFS('Sold Properties'!$G$2:$G$103,'Sold Properties'!$C$2:$C$103,A7)</f>
        <v>800000</v>
      </c>
    </row>
    <row r="8" spans="1:6">
      <c r="A8" s="8" t="s">
        <v>11</v>
      </c>
      <c r="B8" s="8" t="s">
        <v>12</v>
      </c>
      <c r="C8" s="9">
        <f>COUNTIF('Sold Properties'!$C$2:$C$103,A8)</f>
        <v>34</v>
      </c>
      <c r="D8" s="10">
        <f>AVERAGEIF('Sold Properties'!$C$2:$C$103,A8,'Sold Properties'!$G$2:$G$103)</f>
        <v>642132.3529411765</v>
      </c>
      <c r="E8" s="10">
        <f>_xlfn.MINIFS('Sold Properties'!$G$2:$G$103,'Sold Properties'!$C$2:$C$103,A8)</f>
        <v>365000</v>
      </c>
      <c r="F8" s="10">
        <f>_xlfn.MAXIFS('Sold Properties'!$G$2:$G$103,'Sold Properties'!$C$2:$C$103,A8)</f>
        <v>1060000</v>
      </c>
    </row>
    <row r="9" spans="1:6">
      <c r="A9" s="2"/>
      <c r="B9" s="2"/>
      <c r="C9" s="2"/>
      <c r="D9" s="2"/>
      <c r="E9" s="2"/>
      <c r="F9" s="2"/>
    </row>
    <row r="10" spans="1:6">
      <c r="A10" s="11" t="s">
        <v>13</v>
      </c>
      <c r="B10" s="11"/>
      <c r="C10" s="11"/>
      <c r="D10" s="11"/>
      <c r="E10" s="11"/>
      <c r="F10" s="11"/>
    </row>
    <row r="11" spans="1:6">
      <c r="A11" s="12" t="s">
        <v>14</v>
      </c>
      <c r="B11" s="12">
        <f>COUNTA('Sold Properties'!$A$2:$A$103)</f>
        <v>102</v>
      </c>
      <c r="C11" s="2"/>
      <c r="D11" s="2"/>
      <c r="E11" s="2"/>
      <c r="F11" s="2"/>
    </row>
    <row r="12" spans="1:6">
      <c r="A12" s="12" t="s">
        <v>15</v>
      </c>
      <c r="B12" s="12">
        <v>100</v>
      </c>
      <c r="C12" s="2"/>
      <c r="D12" s="2"/>
      <c r="E12" s="2"/>
      <c r="F12" s="2"/>
    </row>
    <row r="13" spans="1:6">
      <c r="A13" s="12" t="s">
        <v>16</v>
      </c>
      <c r="B13" s="12" t="s">
        <v>253</v>
      </c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 ht="34" customHeight="1">
      <c r="A15" s="18"/>
      <c r="B15" s="18"/>
      <c r="C15" s="18"/>
      <c r="D15" s="18"/>
      <c r="E15" s="18"/>
      <c r="F15" s="18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</sheetData>
  <mergeCells count="1"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S10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G3" sqref="G3"/>
    </sheetView>
  </sheetViews>
  <sheetFormatPr baseColWidth="10" defaultColWidth="8.83203125" defaultRowHeight="14"/>
  <cols>
    <col min="1" max="1" width="7" customWidth="1"/>
    <col min="2" max="2" width="31" customWidth="1"/>
    <col min="3" max="3" width="14" customWidth="1"/>
    <col min="4" max="4" width="8" customWidth="1"/>
    <col min="5" max="5" width="11" customWidth="1"/>
    <col min="6" max="6" width="11.5" customWidth="1"/>
    <col min="7" max="7" width="23.1640625" customWidth="1"/>
    <col min="8" max="8" width="15" customWidth="1"/>
    <col min="9" max="9" width="19" customWidth="1"/>
    <col min="10" max="10" width="11" customWidth="1"/>
    <col min="11" max="11" width="12.1640625" customWidth="1"/>
    <col min="12" max="12" width="11" customWidth="1"/>
    <col min="13" max="14" width="12" customWidth="1"/>
    <col min="15" max="15" width="16" customWidth="1"/>
    <col min="16" max="16" width="35" customWidth="1"/>
    <col min="18" max="18" width="70.83203125" customWidth="1"/>
    <col min="19" max="19" width="51.6640625" customWidth="1"/>
    <col min="22" max="22" width="18.33203125" customWidth="1"/>
    <col min="23" max="23" width="11" customWidth="1"/>
    <col min="24" max="24" width="12" customWidth="1"/>
  </cols>
  <sheetData>
    <row r="1" spans="1:19" ht="44" customHeight="1">
      <c r="A1" s="1" t="s">
        <v>17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33</v>
      </c>
      <c r="G1" s="1" t="s">
        <v>252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30</v>
      </c>
      <c r="M1" s="1" t="s">
        <v>25</v>
      </c>
      <c r="N1" s="1" t="s">
        <v>26</v>
      </c>
      <c r="O1" s="1" t="s">
        <v>27</v>
      </c>
      <c r="P1" s="1" t="s">
        <v>31</v>
      </c>
      <c r="Q1" s="1" t="s">
        <v>32</v>
      </c>
      <c r="R1" s="1" t="s">
        <v>28</v>
      </c>
      <c r="S1" s="1" t="s">
        <v>29</v>
      </c>
    </row>
    <row r="2" spans="1:19" ht="20" customHeight="1">
      <c r="A2" s="13">
        <v>1</v>
      </c>
      <c r="B2" s="12" t="s">
        <v>34</v>
      </c>
      <c r="C2" s="13" t="s">
        <v>7</v>
      </c>
      <c r="D2" s="13" t="s">
        <v>35</v>
      </c>
      <c r="E2" s="13">
        <v>2088</v>
      </c>
      <c r="F2" s="13"/>
      <c r="G2" s="14">
        <v>905000</v>
      </c>
      <c r="H2" s="15">
        <v>46282</v>
      </c>
      <c r="I2" s="13" t="s">
        <v>36</v>
      </c>
      <c r="J2" s="16">
        <v>2</v>
      </c>
      <c r="K2" s="16">
        <v>1</v>
      </c>
      <c r="L2" s="13"/>
      <c r="M2" s="16"/>
      <c r="N2" s="16"/>
      <c r="O2" s="16"/>
      <c r="P2" s="13">
        <v>8</v>
      </c>
      <c r="Q2" s="13">
        <v>0</v>
      </c>
      <c r="R2" s="12" t="s">
        <v>37</v>
      </c>
      <c r="S2" s="12" t="s">
        <v>38</v>
      </c>
    </row>
    <row r="3" spans="1:19" ht="20" customHeight="1">
      <c r="A3" s="13">
        <v>2</v>
      </c>
      <c r="B3" s="12" t="s">
        <v>39</v>
      </c>
      <c r="C3" s="13" t="s">
        <v>7</v>
      </c>
      <c r="D3" s="13" t="s">
        <v>35</v>
      </c>
      <c r="E3" s="13">
        <v>2088</v>
      </c>
      <c r="F3" s="13"/>
      <c r="G3" s="14">
        <v>730000</v>
      </c>
      <c r="H3" s="15">
        <v>46277</v>
      </c>
      <c r="I3" s="13" t="s">
        <v>36</v>
      </c>
      <c r="J3" s="16">
        <v>1</v>
      </c>
      <c r="K3" s="16">
        <v>1</v>
      </c>
      <c r="L3" s="13">
        <v>1</v>
      </c>
      <c r="M3" s="16">
        <v>1</v>
      </c>
      <c r="N3" s="16"/>
      <c r="O3" s="16"/>
      <c r="P3" s="13">
        <v>8</v>
      </c>
      <c r="Q3" s="13">
        <v>0</v>
      </c>
      <c r="R3" s="12" t="s">
        <v>40</v>
      </c>
      <c r="S3" s="12" t="s">
        <v>38</v>
      </c>
    </row>
    <row r="4" spans="1:19" ht="20" customHeight="1">
      <c r="A4" s="13">
        <v>3</v>
      </c>
      <c r="B4" s="12" t="s">
        <v>41</v>
      </c>
      <c r="C4" s="13" t="s">
        <v>7</v>
      </c>
      <c r="D4" s="13" t="s">
        <v>35</v>
      </c>
      <c r="E4" s="13">
        <v>2088</v>
      </c>
      <c r="F4" s="13"/>
      <c r="G4" s="14">
        <v>750000</v>
      </c>
      <c r="H4" s="15">
        <v>46273</v>
      </c>
      <c r="I4" s="13" t="s">
        <v>36</v>
      </c>
      <c r="J4" s="16">
        <v>1</v>
      </c>
      <c r="K4" s="16">
        <v>1</v>
      </c>
      <c r="L4" s="13"/>
      <c r="M4" s="16"/>
      <c r="N4" s="16"/>
      <c r="O4" s="16"/>
      <c r="P4" s="13">
        <v>8</v>
      </c>
      <c r="Q4" s="13">
        <v>0</v>
      </c>
      <c r="R4" s="12" t="s">
        <v>42</v>
      </c>
      <c r="S4" s="12" t="s">
        <v>38</v>
      </c>
    </row>
    <row r="5" spans="1:19" ht="20" customHeight="1">
      <c r="A5" s="13">
        <v>4</v>
      </c>
      <c r="B5" s="12" t="s">
        <v>43</v>
      </c>
      <c r="C5" s="13" t="s">
        <v>7</v>
      </c>
      <c r="D5" s="13" t="s">
        <v>35</v>
      </c>
      <c r="E5" s="13">
        <v>2088</v>
      </c>
      <c r="F5" s="13"/>
      <c r="G5" s="14">
        <v>1450000</v>
      </c>
      <c r="H5" s="15">
        <v>46268</v>
      </c>
      <c r="I5" s="13" t="s">
        <v>36</v>
      </c>
      <c r="J5" s="16">
        <v>1</v>
      </c>
      <c r="K5" s="16">
        <v>1</v>
      </c>
      <c r="L5" s="13"/>
      <c r="M5" s="16"/>
      <c r="N5" s="16"/>
      <c r="O5" s="16"/>
      <c r="P5" s="13">
        <v>8</v>
      </c>
      <c r="Q5" s="13">
        <v>0</v>
      </c>
      <c r="R5" s="12" t="s">
        <v>44</v>
      </c>
      <c r="S5" s="12" t="s">
        <v>38</v>
      </c>
    </row>
    <row r="6" spans="1:19" ht="20" customHeight="1">
      <c r="A6" s="13">
        <v>5</v>
      </c>
      <c r="B6" s="12" t="s">
        <v>45</v>
      </c>
      <c r="C6" s="13" t="s">
        <v>7</v>
      </c>
      <c r="D6" s="13" t="s">
        <v>35</v>
      </c>
      <c r="E6" s="13">
        <v>2088</v>
      </c>
      <c r="F6" s="13"/>
      <c r="G6" s="14">
        <v>4500000</v>
      </c>
      <c r="H6" s="15">
        <v>46265</v>
      </c>
      <c r="I6" s="13" t="s">
        <v>36</v>
      </c>
      <c r="J6" s="16">
        <v>2</v>
      </c>
      <c r="K6" s="16">
        <v>2</v>
      </c>
      <c r="L6" s="13">
        <v>1</v>
      </c>
      <c r="M6" s="16">
        <v>2</v>
      </c>
      <c r="N6" s="16"/>
      <c r="O6" s="16"/>
      <c r="P6" s="13">
        <v>8</v>
      </c>
      <c r="Q6" s="13">
        <v>0</v>
      </c>
      <c r="R6" s="12" t="s">
        <v>46</v>
      </c>
      <c r="S6" s="12" t="s">
        <v>38</v>
      </c>
    </row>
    <row r="7" spans="1:19" ht="20" customHeight="1">
      <c r="A7" s="13">
        <v>6</v>
      </c>
      <c r="B7" s="12" t="s">
        <v>47</v>
      </c>
      <c r="C7" s="13" t="s">
        <v>7</v>
      </c>
      <c r="D7" s="13" t="s">
        <v>35</v>
      </c>
      <c r="E7" s="13">
        <v>2088</v>
      </c>
      <c r="F7" s="13"/>
      <c r="G7" s="14">
        <v>790000</v>
      </c>
      <c r="H7" s="15">
        <v>46255</v>
      </c>
      <c r="I7" s="13" t="s">
        <v>36</v>
      </c>
      <c r="J7" s="16">
        <v>1</v>
      </c>
      <c r="K7" s="16">
        <v>1</v>
      </c>
      <c r="L7" s="13"/>
      <c r="M7" s="16"/>
      <c r="N7" s="16"/>
      <c r="O7" s="16"/>
      <c r="P7" s="13">
        <v>8</v>
      </c>
      <c r="Q7" s="13">
        <v>0</v>
      </c>
      <c r="R7" s="12" t="s">
        <v>48</v>
      </c>
      <c r="S7" s="12" t="s">
        <v>38</v>
      </c>
    </row>
    <row r="8" spans="1:19" ht="20" customHeight="1">
      <c r="A8" s="13">
        <v>7</v>
      </c>
      <c r="B8" s="12" t="s">
        <v>49</v>
      </c>
      <c r="C8" s="13" t="s">
        <v>7</v>
      </c>
      <c r="D8" s="13" t="s">
        <v>35</v>
      </c>
      <c r="E8" s="13">
        <v>2088</v>
      </c>
      <c r="F8" s="13"/>
      <c r="G8" s="14">
        <v>930000</v>
      </c>
      <c r="H8" s="15">
        <v>46253</v>
      </c>
      <c r="I8" s="13" t="s">
        <v>36</v>
      </c>
      <c r="J8" s="16">
        <v>1</v>
      </c>
      <c r="K8" s="16">
        <v>1</v>
      </c>
      <c r="L8" s="13">
        <v>1</v>
      </c>
      <c r="M8" s="16">
        <v>1</v>
      </c>
      <c r="N8" s="16"/>
      <c r="O8" s="16">
        <v>74</v>
      </c>
      <c r="P8" s="13">
        <v>8</v>
      </c>
      <c r="Q8" s="13">
        <v>0</v>
      </c>
      <c r="R8" s="12" t="s">
        <v>50</v>
      </c>
      <c r="S8" s="12" t="s">
        <v>38</v>
      </c>
    </row>
    <row r="9" spans="1:19" ht="20" customHeight="1">
      <c r="A9" s="13">
        <v>8</v>
      </c>
      <c r="B9" s="12" t="s">
        <v>51</v>
      </c>
      <c r="C9" s="13" t="s">
        <v>7</v>
      </c>
      <c r="D9" s="13" t="s">
        <v>35</v>
      </c>
      <c r="E9" s="13">
        <v>2088</v>
      </c>
      <c r="F9" s="13"/>
      <c r="G9" s="14">
        <v>2600000</v>
      </c>
      <c r="H9" s="15">
        <v>46248</v>
      </c>
      <c r="I9" s="13" t="s">
        <v>36</v>
      </c>
      <c r="J9" s="16">
        <v>3</v>
      </c>
      <c r="K9" s="16">
        <v>2</v>
      </c>
      <c r="L9" s="13">
        <v>1</v>
      </c>
      <c r="M9" s="16">
        <v>2</v>
      </c>
      <c r="N9" s="16"/>
      <c r="O9" s="16"/>
      <c r="P9" s="13">
        <v>8</v>
      </c>
      <c r="Q9" s="13">
        <v>0</v>
      </c>
      <c r="R9" s="12" t="s">
        <v>52</v>
      </c>
      <c r="S9" s="12" t="s">
        <v>38</v>
      </c>
    </row>
    <row r="10" spans="1:19" ht="20" customHeight="1">
      <c r="A10" s="13">
        <v>9</v>
      </c>
      <c r="B10" s="12" t="s">
        <v>53</v>
      </c>
      <c r="C10" s="13" t="s">
        <v>7</v>
      </c>
      <c r="D10" s="13" t="s">
        <v>35</v>
      </c>
      <c r="E10" s="13">
        <v>2088</v>
      </c>
      <c r="F10" s="13"/>
      <c r="G10" s="14">
        <v>1600000</v>
      </c>
      <c r="H10" s="15">
        <v>46246</v>
      </c>
      <c r="I10" s="13" t="s">
        <v>36</v>
      </c>
      <c r="J10" s="16">
        <v>2</v>
      </c>
      <c r="K10" s="16">
        <v>1</v>
      </c>
      <c r="L10" s="13">
        <v>1</v>
      </c>
      <c r="M10" s="16">
        <v>1</v>
      </c>
      <c r="N10" s="16"/>
      <c r="O10" s="16">
        <v>96</v>
      </c>
      <c r="P10" s="13">
        <v>8</v>
      </c>
      <c r="Q10" s="13">
        <v>0</v>
      </c>
      <c r="R10" s="17" t="s">
        <v>54</v>
      </c>
      <c r="S10" s="12" t="s">
        <v>38</v>
      </c>
    </row>
    <row r="11" spans="1:19" ht="20" customHeight="1">
      <c r="A11" s="13">
        <v>10</v>
      </c>
      <c r="B11" s="12" t="s">
        <v>55</v>
      </c>
      <c r="C11" s="13" t="s">
        <v>7</v>
      </c>
      <c r="D11" s="13" t="s">
        <v>35</v>
      </c>
      <c r="E11" s="13">
        <v>2088</v>
      </c>
      <c r="F11" s="13"/>
      <c r="G11" s="14">
        <v>700000</v>
      </c>
      <c r="H11" s="15">
        <v>46244</v>
      </c>
      <c r="I11" s="13" t="s">
        <v>36</v>
      </c>
      <c r="J11" s="16">
        <v>1</v>
      </c>
      <c r="K11" s="16">
        <v>1</v>
      </c>
      <c r="L11" s="13">
        <v>1</v>
      </c>
      <c r="M11" s="16">
        <v>1</v>
      </c>
      <c r="N11" s="16"/>
      <c r="O11" s="16"/>
      <c r="P11" s="13">
        <v>8</v>
      </c>
      <c r="Q11" s="13">
        <v>0</v>
      </c>
      <c r="R11" s="12" t="s">
        <v>56</v>
      </c>
      <c r="S11" s="12" t="s">
        <v>38</v>
      </c>
    </row>
    <row r="12" spans="1:19" ht="20" customHeight="1">
      <c r="A12" s="13">
        <v>11</v>
      </c>
      <c r="B12" s="12" t="s">
        <v>57</v>
      </c>
      <c r="C12" s="13" t="s">
        <v>7</v>
      </c>
      <c r="D12" s="13" t="s">
        <v>35</v>
      </c>
      <c r="E12" s="13">
        <v>2088</v>
      </c>
      <c r="F12" s="13"/>
      <c r="G12" s="14">
        <v>975000</v>
      </c>
      <c r="H12" s="15">
        <v>46238</v>
      </c>
      <c r="I12" s="13" t="s">
        <v>36</v>
      </c>
      <c r="J12" s="16">
        <v>2</v>
      </c>
      <c r="K12" s="16">
        <v>1</v>
      </c>
      <c r="L12" s="13"/>
      <c r="M12" s="16"/>
      <c r="N12" s="16"/>
      <c r="O12" s="16"/>
      <c r="P12" s="13">
        <v>8</v>
      </c>
      <c r="Q12" s="13">
        <v>0</v>
      </c>
      <c r="R12" s="12" t="s">
        <v>58</v>
      </c>
      <c r="S12" s="12" t="s">
        <v>38</v>
      </c>
    </row>
    <row r="13" spans="1:19" ht="20" customHeight="1">
      <c r="A13" s="13">
        <v>12</v>
      </c>
      <c r="B13" s="12" t="s">
        <v>59</v>
      </c>
      <c r="C13" s="13" t="s">
        <v>7</v>
      </c>
      <c r="D13" s="13" t="s">
        <v>35</v>
      </c>
      <c r="E13" s="13">
        <v>2088</v>
      </c>
      <c r="F13" s="13"/>
      <c r="G13" s="14">
        <v>865000</v>
      </c>
      <c r="H13" s="15">
        <v>46234</v>
      </c>
      <c r="I13" s="13" t="s">
        <v>36</v>
      </c>
      <c r="J13" s="16">
        <v>1</v>
      </c>
      <c r="K13" s="16">
        <v>1</v>
      </c>
      <c r="L13" s="13">
        <v>1</v>
      </c>
      <c r="M13" s="16">
        <v>1</v>
      </c>
      <c r="N13" s="16"/>
      <c r="O13" s="16"/>
      <c r="P13" s="13">
        <v>8</v>
      </c>
      <c r="Q13" s="13">
        <v>0</v>
      </c>
      <c r="R13" s="12" t="s">
        <v>60</v>
      </c>
      <c r="S13" s="12" t="s">
        <v>38</v>
      </c>
    </row>
    <row r="14" spans="1:19" ht="20" customHeight="1">
      <c r="A14" s="13">
        <v>13</v>
      </c>
      <c r="B14" s="12" t="s">
        <v>61</v>
      </c>
      <c r="C14" s="13" t="s">
        <v>7</v>
      </c>
      <c r="D14" s="13" t="s">
        <v>35</v>
      </c>
      <c r="E14" s="13">
        <v>2088</v>
      </c>
      <c r="F14" s="13"/>
      <c r="G14" s="14">
        <v>3800000</v>
      </c>
      <c r="H14" s="15">
        <v>46227</v>
      </c>
      <c r="I14" s="13" t="s">
        <v>62</v>
      </c>
      <c r="J14" s="16">
        <v>3</v>
      </c>
      <c r="K14" s="16">
        <v>2</v>
      </c>
      <c r="L14" s="13">
        <v>1</v>
      </c>
      <c r="M14" s="16">
        <v>2</v>
      </c>
      <c r="N14" s="16"/>
      <c r="O14" s="16"/>
      <c r="P14" s="13">
        <v>8</v>
      </c>
      <c r="Q14" s="13">
        <v>1</v>
      </c>
      <c r="R14" s="17" t="s">
        <v>63</v>
      </c>
      <c r="S14" s="12" t="s">
        <v>38</v>
      </c>
    </row>
    <row r="15" spans="1:19" ht="20" customHeight="1">
      <c r="A15" s="13">
        <v>14</v>
      </c>
      <c r="B15" s="12" t="s">
        <v>64</v>
      </c>
      <c r="C15" s="13" t="s">
        <v>7</v>
      </c>
      <c r="D15" s="13" t="s">
        <v>35</v>
      </c>
      <c r="E15" s="13">
        <v>2088</v>
      </c>
      <c r="F15" s="13"/>
      <c r="G15" s="14">
        <v>8700000</v>
      </c>
      <c r="H15" s="15">
        <v>46225</v>
      </c>
      <c r="I15" s="13" t="s">
        <v>65</v>
      </c>
      <c r="J15" s="16">
        <v>4</v>
      </c>
      <c r="K15" s="16">
        <v>3</v>
      </c>
      <c r="L15" s="13">
        <v>1</v>
      </c>
      <c r="M15" s="16">
        <v>2</v>
      </c>
      <c r="N15" s="16"/>
      <c r="O15" s="16"/>
      <c r="P15" s="13">
        <v>8</v>
      </c>
      <c r="Q15" s="13">
        <v>1</v>
      </c>
      <c r="R15" s="12" t="s">
        <v>66</v>
      </c>
      <c r="S15" s="12" t="s">
        <v>38</v>
      </c>
    </row>
    <row r="16" spans="1:19" ht="20" customHeight="1">
      <c r="A16" s="13">
        <v>15</v>
      </c>
      <c r="B16" s="12" t="s">
        <v>67</v>
      </c>
      <c r="C16" s="13" t="s">
        <v>7</v>
      </c>
      <c r="D16" s="13" t="s">
        <v>35</v>
      </c>
      <c r="E16" s="13">
        <v>2088</v>
      </c>
      <c r="F16" s="13"/>
      <c r="G16" s="14">
        <v>700000</v>
      </c>
      <c r="H16" s="15">
        <v>46223</v>
      </c>
      <c r="I16" s="13" t="s">
        <v>36</v>
      </c>
      <c r="J16" s="16">
        <v>1</v>
      </c>
      <c r="K16" s="16">
        <v>1</v>
      </c>
      <c r="L16" s="13"/>
      <c r="M16" s="16"/>
      <c r="N16" s="16"/>
      <c r="O16" s="16"/>
      <c r="P16" s="13">
        <v>8</v>
      </c>
      <c r="Q16" s="13">
        <v>0</v>
      </c>
      <c r="R16" s="12" t="s">
        <v>68</v>
      </c>
      <c r="S16" s="12" t="s">
        <v>38</v>
      </c>
    </row>
    <row r="17" spans="1:19" ht="20" customHeight="1">
      <c r="A17" s="13">
        <v>16</v>
      </c>
      <c r="B17" s="12" t="s">
        <v>69</v>
      </c>
      <c r="C17" s="13" t="s">
        <v>7</v>
      </c>
      <c r="D17" s="13" t="s">
        <v>35</v>
      </c>
      <c r="E17" s="13">
        <v>2088</v>
      </c>
      <c r="F17" s="13"/>
      <c r="G17" s="14">
        <v>1050000</v>
      </c>
      <c r="H17" s="15">
        <v>46219</v>
      </c>
      <c r="I17" s="13" t="s">
        <v>36</v>
      </c>
      <c r="J17" s="16">
        <v>2</v>
      </c>
      <c r="K17" s="16">
        <v>1</v>
      </c>
      <c r="L17" s="13">
        <v>1</v>
      </c>
      <c r="M17" s="16">
        <v>1</v>
      </c>
      <c r="N17" s="16"/>
      <c r="O17" s="16"/>
      <c r="P17" s="13">
        <v>8</v>
      </c>
      <c r="Q17" s="13">
        <v>0</v>
      </c>
      <c r="R17" s="12" t="s">
        <v>70</v>
      </c>
      <c r="S17" s="12" t="s">
        <v>38</v>
      </c>
    </row>
    <row r="18" spans="1:19" ht="20" customHeight="1">
      <c r="A18" s="13">
        <v>17</v>
      </c>
      <c r="B18" s="12" t="s">
        <v>71</v>
      </c>
      <c r="C18" s="13" t="s">
        <v>7</v>
      </c>
      <c r="D18" s="13" t="s">
        <v>35</v>
      </c>
      <c r="E18" s="13">
        <v>2088</v>
      </c>
      <c r="F18" s="13"/>
      <c r="G18" s="14">
        <v>785000</v>
      </c>
      <c r="H18" s="15">
        <v>46217</v>
      </c>
      <c r="I18" s="13" t="s">
        <v>72</v>
      </c>
      <c r="J18" s="16">
        <v>1</v>
      </c>
      <c r="K18" s="16">
        <v>1</v>
      </c>
      <c r="L18" s="13">
        <v>1</v>
      </c>
      <c r="M18" s="16">
        <v>1</v>
      </c>
      <c r="N18" s="16"/>
      <c r="O18" s="16"/>
      <c r="P18" s="13">
        <v>8</v>
      </c>
      <c r="Q18" s="13">
        <v>0</v>
      </c>
      <c r="R18" s="12" t="s">
        <v>73</v>
      </c>
      <c r="S18" s="12" t="s">
        <v>38</v>
      </c>
    </row>
    <row r="19" spans="1:19" ht="20" customHeight="1">
      <c r="A19" s="13">
        <v>18</v>
      </c>
      <c r="B19" s="12" t="s">
        <v>74</v>
      </c>
      <c r="C19" s="13" t="s">
        <v>7</v>
      </c>
      <c r="D19" s="13" t="s">
        <v>35</v>
      </c>
      <c r="E19" s="13">
        <v>2088</v>
      </c>
      <c r="F19" s="13"/>
      <c r="G19" s="14">
        <v>1030000</v>
      </c>
      <c r="H19" s="15">
        <v>46210</v>
      </c>
      <c r="I19" s="13" t="s">
        <v>36</v>
      </c>
      <c r="J19" s="16">
        <v>2</v>
      </c>
      <c r="K19" s="16">
        <v>1</v>
      </c>
      <c r="L19" s="13">
        <v>1</v>
      </c>
      <c r="M19" s="16">
        <v>1</v>
      </c>
      <c r="N19" s="16"/>
      <c r="O19" s="16"/>
      <c r="P19" s="13">
        <v>8</v>
      </c>
      <c r="Q19" s="13">
        <v>0</v>
      </c>
      <c r="R19" s="12" t="s">
        <v>75</v>
      </c>
      <c r="S19" s="12" t="s">
        <v>38</v>
      </c>
    </row>
    <row r="20" spans="1:19" ht="20" customHeight="1">
      <c r="A20" s="13">
        <v>19</v>
      </c>
      <c r="B20" s="12" t="s">
        <v>76</v>
      </c>
      <c r="C20" s="13" t="s">
        <v>7</v>
      </c>
      <c r="D20" s="13" t="s">
        <v>35</v>
      </c>
      <c r="E20" s="13">
        <v>2088</v>
      </c>
      <c r="F20" s="13"/>
      <c r="G20" s="14">
        <v>990000</v>
      </c>
      <c r="H20" s="15">
        <v>46210</v>
      </c>
      <c r="I20" s="13" t="s">
        <v>36</v>
      </c>
      <c r="J20" s="16">
        <v>2</v>
      </c>
      <c r="K20" s="16">
        <v>1</v>
      </c>
      <c r="L20" s="13"/>
      <c r="M20" s="16"/>
      <c r="N20" s="16"/>
      <c r="O20" s="16"/>
      <c r="P20" s="13">
        <v>8</v>
      </c>
      <c r="Q20" s="13">
        <v>0</v>
      </c>
      <c r="R20" s="12" t="s">
        <v>77</v>
      </c>
      <c r="S20" s="12" t="s">
        <v>38</v>
      </c>
    </row>
    <row r="21" spans="1:19" ht="20" customHeight="1">
      <c r="A21" s="13">
        <v>20</v>
      </c>
      <c r="B21" s="12" t="s">
        <v>78</v>
      </c>
      <c r="C21" s="13" t="s">
        <v>7</v>
      </c>
      <c r="D21" s="13" t="s">
        <v>35</v>
      </c>
      <c r="E21" s="13">
        <v>2088</v>
      </c>
      <c r="F21" s="13"/>
      <c r="G21" s="14">
        <v>1025000</v>
      </c>
      <c r="H21" s="15">
        <v>46206</v>
      </c>
      <c r="I21" s="13" t="s">
        <v>36</v>
      </c>
      <c r="J21" s="16">
        <v>2</v>
      </c>
      <c r="K21" s="16">
        <v>1</v>
      </c>
      <c r="L21" s="13">
        <v>1</v>
      </c>
      <c r="M21" s="16">
        <v>1</v>
      </c>
      <c r="N21" s="16"/>
      <c r="O21" s="16">
        <v>102.2</v>
      </c>
      <c r="P21" s="13">
        <v>8</v>
      </c>
      <c r="Q21" s="13">
        <v>0</v>
      </c>
      <c r="R21" s="12" t="s">
        <v>79</v>
      </c>
      <c r="S21" s="12" t="s">
        <v>38</v>
      </c>
    </row>
    <row r="22" spans="1:19" ht="20" customHeight="1">
      <c r="A22" s="13">
        <v>21</v>
      </c>
      <c r="B22" s="12" t="s">
        <v>80</v>
      </c>
      <c r="C22" s="13" t="s">
        <v>7</v>
      </c>
      <c r="D22" s="13" t="s">
        <v>35</v>
      </c>
      <c r="E22" s="13">
        <v>2088</v>
      </c>
      <c r="F22" s="13"/>
      <c r="G22" s="14">
        <v>1925000</v>
      </c>
      <c r="H22" s="15">
        <v>46202</v>
      </c>
      <c r="I22" s="13" t="s">
        <v>36</v>
      </c>
      <c r="J22" s="16">
        <v>3</v>
      </c>
      <c r="K22" s="16">
        <v>2</v>
      </c>
      <c r="L22" s="13">
        <v>1</v>
      </c>
      <c r="M22" s="16">
        <v>2</v>
      </c>
      <c r="N22" s="16"/>
      <c r="O22" s="16"/>
      <c r="P22" s="13">
        <v>8</v>
      </c>
      <c r="Q22" s="13">
        <v>0</v>
      </c>
      <c r="R22" s="12" t="s">
        <v>81</v>
      </c>
      <c r="S22" s="12" t="s">
        <v>38</v>
      </c>
    </row>
    <row r="23" spans="1:19" ht="20" customHeight="1">
      <c r="A23" s="13">
        <v>22</v>
      </c>
      <c r="B23" s="12" t="s">
        <v>82</v>
      </c>
      <c r="C23" s="13" t="s">
        <v>7</v>
      </c>
      <c r="D23" s="13" t="s">
        <v>35</v>
      </c>
      <c r="E23" s="13">
        <v>2088</v>
      </c>
      <c r="F23" s="13"/>
      <c r="G23" s="14">
        <v>1450000</v>
      </c>
      <c r="H23" s="15">
        <v>46190</v>
      </c>
      <c r="I23" s="13" t="s">
        <v>36</v>
      </c>
      <c r="J23" s="16">
        <v>2</v>
      </c>
      <c r="K23" s="16">
        <v>1</v>
      </c>
      <c r="L23" s="13">
        <v>1</v>
      </c>
      <c r="M23" s="16">
        <v>1</v>
      </c>
      <c r="N23" s="16"/>
      <c r="O23" s="16">
        <v>101</v>
      </c>
      <c r="P23" s="13">
        <v>8</v>
      </c>
      <c r="Q23" s="13">
        <v>0</v>
      </c>
      <c r="R23" s="12" t="s">
        <v>83</v>
      </c>
      <c r="S23" s="12" t="s">
        <v>38</v>
      </c>
    </row>
    <row r="24" spans="1:19" ht="20" customHeight="1">
      <c r="A24" s="13">
        <v>23</v>
      </c>
      <c r="B24" s="12" t="s">
        <v>84</v>
      </c>
      <c r="C24" s="13" t="s">
        <v>7</v>
      </c>
      <c r="D24" s="13" t="s">
        <v>35</v>
      </c>
      <c r="E24" s="13">
        <v>2088</v>
      </c>
      <c r="F24" s="13"/>
      <c r="G24" s="14">
        <v>1237500</v>
      </c>
      <c r="H24" s="15">
        <v>46190</v>
      </c>
      <c r="I24" s="13" t="s">
        <v>36</v>
      </c>
      <c r="J24" s="16">
        <v>2</v>
      </c>
      <c r="K24" s="16">
        <v>1</v>
      </c>
      <c r="L24" s="13">
        <v>1</v>
      </c>
      <c r="M24" s="16">
        <v>1</v>
      </c>
      <c r="N24" s="16"/>
      <c r="O24" s="16"/>
      <c r="P24" s="13">
        <v>8</v>
      </c>
      <c r="Q24" s="13">
        <v>0</v>
      </c>
      <c r="R24" s="12" t="s">
        <v>85</v>
      </c>
      <c r="S24" s="12" t="s">
        <v>38</v>
      </c>
    </row>
    <row r="25" spans="1:19" ht="20" customHeight="1">
      <c r="A25" s="13">
        <v>24</v>
      </c>
      <c r="B25" s="12" t="s">
        <v>86</v>
      </c>
      <c r="C25" s="13" t="s">
        <v>7</v>
      </c>
      <c r="D25" s="13" t="s">
        <v>35</v>
      </c>
      <c r="E25" s="13">
        <v>2088</v>
      </c>
      <c r="F25" s="13"/>
      <c r="G25" s="14">
        <v>2380000</v>
      </c>
      <c r="H25" s="15">
        <v>46183</v>
      </c>
      <c r="I25" s="13" t="s">
        <v>87</v>
      </c>
      <c r="J25" s="16">
        <v>3</v>
      </c>
      <c r="K25" s="16">
        <v>2</v>
      </c>
      <c r="L25" s="13">
        <v>1</v>
      </c>
      <c r="M25" s="16">
        <v>2</v>
      </c>
      <c r="N25" s="16"/>
      <c r="O25" s="16">
        <v>192</v>
      </c>
      <c r="P25" s="13">
        <v>8</v>
      </c>
      <c r="Q25" s="13">
        <v>0</v>
      </c>
      <c r="R25" s="12" t="s">
        <v>88</v>
      </c>
      <c r="S25" s="12" t="s">
        <v>38</v>
      </c>
    </row>
    <row r="26" spans="1:19" ht="20" customHeight="1">
      <c r="A26" s="13">
        <v>25</v>
      </c>
      <c r="B26" s="12" t="s">
        <v>89</v>
      </c>
      <c r="C26" s="13" t="s">
        <v>7</v>
      </c>
      <c r="D26" s="13" t="s">
        <v>35</v>
      </c>
      <c r="E26" s="13">
        <v>2088</v>
      </c>
      <c r="F26" s="13"/>
      <c r="G26" s="14">
        <v>1570000</v>
      </c>
      <c r="H26" s="15">
        <v>46179</v>
      </c>
      <c r="I26" s="13" t="s">
        <v>36</v>
      </c>
      <c r="J26" s="16">
        <v>1</v>
      </c>
      <c r="K26" s="16">
        <v>1</v>
      </c>
      <c r="L26" s="13">
        <v>1</v>
      </c>
      <c r="M26" s="16">
        <v>1</v>
      </c>
      <c r="N26" s="16"/>
      <c r="O26" s="16"/>
      <c r="P26" s="13">
        <v>8</v>
      </c>
      <c r="Q26" s="13">
        <v>0</v>
      </c>
      <c r="R26" s="12" t="s">
        <v>90</v>
      </c>
      <c r="S26" s="12" t="s">
        <v>38</v>
      </c>
    </row>
    <row r="27" spans="1:19" ht="20" customHeight="1">
      <c r="A27" s="13">
        <v>26</v>
      </c>
      <c r="B27" s="12" t="s">
        <v>91</v>
      </c>
      <c r="C27" s="13" t="s">
        <v>7</v>
      </c>
      <c r="D27" s="13" t="s">
        <v>35</v>
      </c>
      <c r="E27" s="13">
        <v>2088</v>
      </c>
      <c r="F27" s="13"/>
      <c r="G27" s="14">
        <v>3550000</v>
      </c>
      <c r="H27" s="15">
        <v>46178</v>
      </c>
      <c r="I27" s="13" t="s">
        <v>65</v>
      </c>
      <c r="J27" s="16">
        <v>4</v>
      </c>
      <c r="K27" s="16">
        <v>3</v>
      </c>
      <c r="L27" s="13"/>
      <c r="M27" s="16"/>
      <c r="N27" s="16"/>
      <c r="O27" s="16"/>
      <c r="P27" s="13">
        <v>8</v>
      </c>
      <c r="Q27" s="13">
        <v>0</v>
      </c>
      <c r="R27" s="12" t="s">
        <v>92</v>
      </c>
      <c r="S27" s="12" t="s">
        <v>93</v>
      </c>
    </row>
    <row r="28" spans="1:19" ht="20" customHeight="1">
      <c r="A28" s="13">
        <v>27</v>
      </c>
      <c r="B28" s="12" t="s">
        <v>94</v>
      </c>
      <c r="C28" s="13" t="s">
        <v>7</v>
      </c>
      <c r="D28" s="13" t="s">
        <v>35</v>
      </c>
      <c r="E28" s="13">
        <v>2088</v>
      </c>
      <c r="F28" s="13"/>
      <c r="G28" s="14">
        <v>1140000</v>
      </c>
      <c r="H28" s="15">
        <v>46177</v>
      </c>
      <c r="I28" s="13" t="s">
        <v>36</v>
      </c>
      <c r="J28" s="16">
        <v>2</v>
      </c>
      <c r="K28" s="16">
        <v>1</v>
      </c>
      <c r="L28" s="13"/>
      <c r="M28" s="16"/>
      <c r="N28" s="16"/>
      <c r="O28" s="16"/>
      <c r="P28" s="13">
        <v>8</v>
      </c>
      <c r="Q28" s="13">
        <v>0</v>
      </c>
      <c r="R28" s="12" t="s">
        <v>95</v>
      </c>
      <c r="S28" s="12" t="s">
        <v>93</v>
      </c>
    </row>
    <row r="29" spans="1:19" ht="20" customHeight="1">
      <c r="A29" s="13">
        <v>28</v>
      </c>
      <c r="B29" s="12" t="s">
        <v>96</v>
      </c>
      <c r="C29" s="13" t="s">
        <v>7</v>
      </c>
      <c r="D29" s="13" t="s">
        <v>35</v>
      </c>
      <c r="E29" s="13">
        <v>2088</v>
      </c>
      <c r="F29" s="13"/>
      <c r="G29" s="14">
        <v>3390000</v>
      </c>
      <c r="H29" s="15">
        <v>46175</v>
      </c>
      <c r="I29" s="13" t="s">
        <v>65</v>
      </c>
      <c r="J29" s="16">
        <v>4</v>
      </c>
      <c r="K29" s="16">
        <v>3</v>
      </c>
      <c r="L29" s="13">
        <v>1</v>
      </c>
      <c r="M29" s="16">
        <v>2</v>
      </c>
      <c r="N29" s="16">
        <v>379</v>
      </c>
      <c r="O29" s="16"/>
      <c r="P29" s="13">
        <v>8</v>
      </c>
      <c r="Q29" s="13">
        <v>0</v>
      </c>
      <c r="R29" s="12" t="s">
        <v>97</v>
      </c>
      <c r="S29" s="12" t="s">
        <v>93</v>
      </c>
    </row>
    <row r="30" spans="1:19" ht="20" customHeight="1">
      <c r="A30" s="13">
        <v>29</v>
      </c>
      <c r="B30" s="12" t="s">
        <v>98</v>
      </c>
      <c r="C30" s="13" t="s">
        <v>7</v>
      </c>
      <c r="D30" s="13" t="s">
        <v>35</v>
      </c>
      <c r="E30" s="13">
        <v>2088</v>
      </c>
      <c r="F30" s="13"/>
      <c r="G30" s="14">
        <v>827000</v>
      </c>
      <c r="H30" s="15">
        <v>46174</v>
      </c>
      <c r="I30" s="13" t="s">
        <v>36</v>
      </c>
      <c r="J30" s="16">
        <v>1</v>
      </c>
      <c r="K30" s="16">
        <v>1</v>
      </c>
      <c r="L30" s="13">
        <v>1</v>
      </c>
      <c r="M30" s="16">
        <v>1</v>
      </c>
      <c r="N30" s="16"/>
      <c r="O30" s="16"/>
      <c r="P30" s="13">
        <v>8</v>
      </c>
      <c r="Q30" s="13">
        <v>0</v>
      </c>
      <c r="R30" s="12" t="s">
        <v>99</v>
      </c>
      <c r="S30" s="12" t="s">
        <v>93</v>
      </c>
    </row>
    <row r="31" spans="1:19" ht="20" customHeight="1">
      <c r="A31" s="13">
        <v>30</v>
      </c>
      <c r="B31" s="12" t="s">
        <v>100</v>
      </c>
      <c r="C31" s="13" t="s">
        <v>7</v>
      </c>
      <c r="D31" s="13" t="s">
        <v>35</v>
      </c>
      <c r="E31" s="13">
        <v>2088</v>
      </c>
      <c r="F31" s="13"/>
      <c r="G31" s="14">
        <v>800000</v>
      </c>
      <c r="H31" s="15">
        <v>46171</v>
      </c>
      <c r="I31" s="13" t="s">
        <v>36</v>
      </c>
      <c r="J31" s="16">
        <v>1</v>
      </c>
      <c r="K31" s="16">
        <v>1</v>
      </c>
      <c r="L31" s="13"/>
      <c r="M31" s="16"/>
      <c r="N31" s="16"/>
      <c r="O31" s="16">
        <v>40</v>
      </c>
      <c r="P31" s="13">
        <v>8</v>
      </c>
      <c r="Q31" s="13">
        <v>0</v>
      </c>
      <c r="R31" s="12" t="s">
        <v>101</v>
      </c>
      <c r="S31" s="12" t="s">
        <v>93</v>
      </c>
    </row>
    <row r="32" spans="1:19" ht="20" customHeight="1">
      <c r="A32" s="13">
        <v>31</v>
      </c>
      <c r="B32" s="12" t="s">
        <v>102</v>
      </c>
      <c r="C32" s="13" t="s">
        <v>7</v>
      </c>
      <c r="D32" s="13" t="s">
        <v>35</v>
      </c>
      <c r="E32" s="13">
        <v>2088</v>
      </c>
      <c r="F32" s="13"/>
      <c r="G32" s="14">
        <v>1030000</v>
      </c>
      <c r="H32" s="15">
        <v>46168</v>
      </c>
      <c r="I32" s="13" t="s">
        <v>36</v>
      </c>
      <c r="J32" s="16">
        <v>1</v>
      </c>
      <c r="K32" s="16">
        <v>1</v>
      </c>
      <c r="L32" s="13">
        <v>1</v>
      </c>
      <c r="M32" s="16">
        <v>1</v>
      </c>
      <c r="N32" s="16"/>
      <c r="O32" s="16"/>
      <c r="P32" s="13">
        <v>8</v>
      </c>
      <c r="Q32" s="13">
        <v>0</v>
      </c>
      <c r="R32" s="12" t="s">
        <v>103</v>
      </c>
      <c r="S32" s="12" t="s">
        <v>93</v>
      </c>
    </row>
    <row r="33" spans="1:19" ht="20" customHeight="1">
      <c r="A33" s="13">
        <v>32</v>
      </c>
      <c r="B33" s="12" t="s">
        <v>104</v>
      </c>
      <c r="C33" s="13" t="s">
        <v>7</v>
      </c>
      <c r="D33" s="13" t="s">
        <v>35</v>
      </c>
      <c r="E33" s="13">
        <v>2088</v>
      </c>
      <c r="F33" s="13"/>
      <c r="G33" s="14">
        <v>2000000</v>
      </c>
      <c r="H33" s="15">
        <v>46161</v>
      </c>
      <c r="I33" s="13" t="s">
        <v>36</v>
      </c>
      <c r="J33" s="16">
        <v>2</v>
      </c>
      <c r="K33" s="16">
        <v>2</v>
      </c>
      <c r="L33" s="13">
        <v>1</v>
      </c>
      <c r="M33" s="16">
        <v>2</v>
      </c>
      <c r="N33" s="16"/>
      <c r="O33" s="16">
        <v>154</v>
      </c>
      <c r="P33" s="13">
        <v>8</v>
      </c>
      <c r="Q33" s="13">
        <v>0</v>
      </c>
      <c r="R33" s="12" t="s">
        <v>105</v>
      </c>
      <c r="S33" s="12" t="s">
        <v>93</v>
      </c>
    </row>
    <row r="34" spans="1:19" ht="20" customHeight="1">
      <c r="A34" s="13">
        <v>33</v>
      </c>
      <c r="B34" s="12" t="s">
        <v>106</v>
      </c>
      <c r="C34" s="13" t="s">
        <v>7</v>
      </c>
      <c r="D34" s="13" t="s">
        <v>35</v>
      </c>
      <c r="E34" s="13">
        <v>2088</v>
      </c>
      <c r="F34" s="13"/>
      <c r="G34" s="14">
        <v>3000000</v>
      </c>
      <c r="H34" s="15">
        <v>46157</v>
      </c>
      <c r="I34" s="13" t="s">
        <v>36</v>
      </c>
      <c r="J34" s="16">
        <v>3</v>
      </c>
      <c r="K34" s="16">
        <v>2</v>
      </c>
      <c r="L34" s="13">
        <v>1</v>
      </c>
      <c r="M34" s="16">
        <v>2</v>
      </c>
      <c r="N34" s="16"/>
      <c r="O34" s="16">
        <v>156</v>
      </c>
      <c r="P34" s="13">
        <v>8</v>
      </c>
      <c r="Q34" s="13">
        <v>0</v>
      </c>
      <c r="R34" s="12" t="s">
        <v>107</v>
      </c>
      <c r="S34" s="12" t="s">
        <v>93</v>
      </c>
    </row>
    <row r="35" spans="1:19" ht="20" customHeight="1">
      <c r="A35" s="13">
        <v>34</v>
      </c>
      <c r="B35" s="12" t="s">
        <v>108</v>
      </c>
      <c r="C35" s="13" t="s">
        <v>7</v>
      </c>
      <c r="D35" s="13" t="s">
        <v>35</v>
      </c>
      <c r="E35" s="13">
        <v>2088</v>
      </c>
      <c r="F35" s="13"/>
      <c r="G35" s="14">
        <v>765000</v>
      </c>
      <c r="H35" s="15">
        <v>46157</v>
      </c>
      <c r="I35" s="13" t="s">
        <v>36</v>
      </c>
      <c r="J35" s="16">
        <v>1</v>
      </c>
      <c r="K35" s="16">
        <v>1</v>
      </c>
      <c r="L35" s="13">
        <v>1</v>
      </c>
      <c r="M35" s="16">
        <v>1</v>
      </c>
      <c r="N35" s="16"/>
      <c r="O35" s="16"/>
      <c r="P35" s="13">
        <v>8</v>
      </c>
      <c r="Q35" s="13">
        <v>0</v>
      </c>
      <c r="R35" s="12" t="s">
        <v>109</v>
      </c>
      <c r="S35" s="12" t="s">
        <v>93</v>
      </c>
    </row>
    <row r="36" spans="1:19" ht="20" customHeight="1">
      <c r="A36" s="13">
        <v>35</v>
      </c>
      <c r="B36" s="12" t="s">
        <v>110</v>
      </c>
      <c r="C36" s="13" t="s">
        <v>9</v>
      </c>
      <c r="D36" s="13" t="s">
        <v>35</v>
      </c>
      <c r="E36" s="13">
        <v>2150</v>
      </c>
      <c r="F36" s="13"/>
      <c r="G36" s="14">
        <v>720000</v>
      </c>
      <c r="H36" s="15">
        <v>46281</v>
      </c>
      <c r="I36" s="13" t="s">
        <v>87</v>
      </c>
      <c r="J36" s="16">
        <v>2</v>
      </c>
      <c r="K36" s="16">
        <v>1</v>
      </c>
      <c r="L36" s="13">
        <v>1</v>
      </c>
      <c r="M36" s="16">
        <v>1</v>
      </c>
      <c r="N36" s="16">
        <v>128</v>
      </c>
      <c r="O36" s="16"/>
      <c r="P36" s="13">
        <v>24</v>
      </c>
      <c r="Q36" s="13">
        <v>0</v>
      </c>
      <c r="R36" s="12" t="s">
        <v>111</v>
      </c>
      <c r="S36" s="12" t="s">
        <v>112</v>
      </c>
    </row>
    <row r="37" spans="1:19" ht="20" customHeight="1">
      <c r="A37" s="13">
        <v>36</v>
      </c>
      <c r="B37" s="12" t="s">
        <v>113</v>
      </c>
      <c r="C37" s="13" t="s">
        <v>9</v>
      </c>
      <c r="D37" s="13" t="s">
        <v>35</v>
      </c>
      <c r="E37" s="13">
        <v>2150</v>
      </c>
      <c r="F37" s="13"/>
      <c r="G37" s="14">
        <v>640000</v>
      </c>
      <c r="H37" s="15">
        <v>46281</v>
      </c>
      <c r="I37" s="13" t="s">
        <v>36</v>
      </c>
      <c r="J37" s="16">
        <v>2</v>
      </c>
      <c r="K37" s="16">
        <v>2</v>
      </c>
      <c r="L37" s="13">
        <v>1</v>
      </c>
      <c r="M37" s="16">
        <v>1</v>
      </c>
      <c r="N37" s="16"/>
      <c r="O37" s="16">
        <v>97</v>
      </c>
      <c r="P37" s="13">
        <v>24</v>
      </c>
      <c r="Q37" s="13">
        <v>1</v>
      </c>
      <c r="R37" s="12" t="s">
        <v>114</v>
      </c>
      <c r="S37" s="12" t="s">
        <v>112</v>
      </c>
    </row>
    <row r="38" spans="1:19" ht="20" customHeight="1">
      <c r="A38" s="13">
        <v>37</v>
      </c>
      <c r="B38" s="12" t="s">
        <v>115</v>
      </c>
      <c r="C38" s="13" t="s">
        <v>9</v>
      </c>
      <c r="D38" s="13" t="s">
        <v>35</v>
      </c>
      <c r="E38" s="13">
        <v>2150</v>
      </c>
      <c r="F38" s="13"/>
      <c r="G38" s="14">
        <v>600000</v>
      </c>
      <c r="H38" s="15">
        <v>46281</v>
      </c>
      <c r="I38" s="13" t="s">
        <v>36</v>
      </c>
      <c r="J38" s="16">
        <v>2</v>
      </c>
      <c r="K38" s="16">
        <v>1</v>
      </c>
      <c r="L38" s="13"/>
      <c r="M38" s="16"/>
      <c r="N38" s="16"/>
      <c r="O38" s="16"/>
      <c r="P38" s="13">
        <v>24</v>
      </c>
      <c r="Q38" s="13">
        <v>0</v>
      </c>
      <c r="R38" s="12" t="s">
        <v>116</v>
      </c>
      <c r="S38" s="12" t="s">
        <v>112</v>
      </c>
    </row>
    <row r="39" spans="1:19" ht="20" customHeight="1">
      <c r="A39" s="13">
        <v>38</v>
      </c>
      <c r="B39" s="12" t="s">
        <v>117</v>
      </c>
      <c r="C39" s="13" t="s">
        <v>9</v>
      </c>
      <c r="D39" s="13" t="s">
        <v>35</v>
      </c>
      <c r="E39" s="13">
        <v>2150</v>
      </c>
      <c r="F39" s="13"/>
      <c r="G39" s="14">
        <v>570000</v>
      </c>
      <c r="H39" s="15">
        <v>46281</v>
      </c>
      <c r="I39" s="13" t="s">
        <v>72</v>
      </c>
      <c r="J39" s="16">
        <v>2</v>
      </c>
      <c r="K39" s="16">
        <v>1</v>
      </c>
      <c r="L39" s="13">
        <v>1</v>
      </c>
      <c r="M39" s="16">
        <v>1</v>
      </c>
      <c r="N39" s="16"/>
      <c r="O39" s="16"/>
      <c r="P39" s="13">
        <v>24</v>
      </c>
      <c r="Q39" s="13">
        <v>0</v>
      </c>
      <c r="R39" s="12" t="s">
        <v>118</v>
      </c>
      <c r="S39" s="12" t="s">
        <v>112</v>
      </c>
    </row>
    <row r="40" spans="1:19" ht="20" customHeight="1">
      <c r="A40" s="13">
        <v>39</v>
      </c>
      <c r="B40" s="12" t="s">
        <v>119</v>
      </c>
      <c r="C40" s="13" t="s">
        <v>9</v>
      </c>
      <c r="D40" s="13" t="s">
        <v>35</v>
      </c>
      <c r="E40" s="13">
        <v>2150</v>
      </c>
      <c r="F40" s="13"/>
      <c r="G40" s="14">
        <v>575000</v>
      </c>
      <c r="H40" s="15">
        <v>46279</v>
      </c>
      <c r="I40" s="13" t="s">
        <v>36</v>
      </c>
      <c r="J40" s="16">
        <v>2</v>
      </c>
      <c r="K40" s="16">
        <v>2</v>
      </c>
      <c r="L40" s="13">
        <v>1</v>
      </c>
      <c r="M40" s="16">
        <v>1</v>
      </c>
      <c r="N40" s="16"/>
      <c r="O40" s="16">
        <v>113</v>
      </c>
      <c r="P40" s="13">
        <v>24</v>
      </c>
      <c r="Q40" s="13">
        <v>0</v>
      </c>
      <c r="R40" s="12" t="s">
        <v>120</v>
      </c>
      <c r="S40" s="12" t="s">
        <v>112</v>
      </c>
    </row>
    <row r="41" spans="1:19" ht="20" customHeight="1">
      <c r="A41" s="13">
        <v>40</v>
      </c>
      <c r="B41" s="12" t="s">
        <v>121</v>
      </c>
      <c r="C41" s="13" t="s">
        <v>9</v>
      </c>
      <c r="D41" s="13" t="s">
        <v>35</v>
      </c>
      <c r="E41" s="13">
        <v>2150</v>
      </c>
      <c r="F41" s="13"/>
      <c r="G41" s="14">
        <v>660000</v>
      </c>
      <c r="H41" s="15">
        <v>46277</v>
      </c>
      <c r="I41" s="13" t="s">
        <v>36</v>
      </c>
      <c r="J41" s="16">
        <v>2</v>
      </c>
      <c r="K41" s="16">
        <v>1</v>
      </c>
      <c r="L41" s="13">
        <v>1</v>
      </c>
      <c r="M41" s="16">
        <v>1</v>
      </c>
      <c r="N41" s="16"/>
      <c r="O41" s="16"/>
      <c r="P41" s="13">
        <v>24</v>
      </c>
      <c r="Q41" s="13">
        <v>0</v>
      </c>
      <c r="R41" s="12" t="s">
        <v>122</v>
      </c>
      <c r="S41" s="12" t="s">
        <v>112</v>
      </c>
    </row>
    <row r="42" spans="1:19" ht="20" customHeight="1">
      <c r="A42" s="13">
        <v>41</v>
      </c>
      <c r="B42" s="12" t="s">
        <v>123</v>
      </c>
      <c r="C42" s="13" t="s">
        <v>9</v>
      </c>
      <c r="D42" s="13" t="s">
        <v>35</v>
      </c>
      <c r="E42" s="13">
        <v>2150</v>
      </c>
      <c r="F42" s="13"/>
      <c r="G42" s="14">
        <v>650000</v>
      </c>
      <c r="H42" s="15">
        <v>46276</v>
      </c>
      <c r="I42" s="13" t="s">
        <v>36</v>
      </c>
      <c r="J42" s="16">
        <v>2</v>
      </c>
      <c r="K42" s="16">
        <v>2</v>
      </c>
      <c r="L42" s="13">
        <v>1</v>
      </c>
      <c r="M42" s="16">
        <v>1</v>
      </c>
      <c r="N42" s="16"/>
      <c r="O42" s="16"/>
      <c r="P42" s="13">
        <v>24</v>
      </c>
      <c r="Q42" s="13">
        <v>0</v>
      </c>
      <c r="R42" s="12" t="s">
        <v>124</v>
      </c>
      <c r="S42" s="12" t="s">
        <v>112</v>
      </c>
    </row>
    <row r="43" spans="1:19" ht="20" customHeight="1">
      <c r="A43" s="13">
        <v>42</v>
      </c>
      <c r="B43" s="12" t="s">
        <v>125</v>
      </c>
      <c r="C43" s="13" t="s">
        <v>9</v>
      </c>
      <c r="D43" s="13" t="s">
        <v>35</v>
      </c>
      <c r="E43" s="13">
        <v>2150</v>
      </c>
      <c r="F43" s="13"/>
      <c r="G43" s="14">
        <v>520000</v>
      </c>
      <c r="H43" s="15">
        <v>46276</v>
      </c>
      <c r="I43" s="13" t="s">
        <v>36</v>
      </c>
      <c r="J43" s="16">
        <v>2</v>
      </c>
      <c r="K43" s="16">
        <v>1</v>
      </c>
      <c r="L43" s="13">
        <v>1</v>
      </c>
      <c r="M43" s="16">
        <v>1</v>
      </c>
      <c r="N43" s="16"/>
      <c r="O43" s="16">
        <v>116</v>
      </c>
      <c r="P43" s="13">
        <v>24</v>
      </c>
      <c r="Q43" s="13">
        <v>0</v>
      </c>
      <c r="R43" s="12" t="s">
        <v>126</v>
      </c>
      <c r="S43" s="12" t="s">
        <v>112</v>
      </c>
    </row>
    <row r="44" spans="1:19" ht="20" customHeight="1">
      <c r="A44" s="13">
        <v>43</v>
      </c>
      <c r="B44" s="12" t="s">
        <v>127</v>
      </c>
      <c r="C44" s="13" t="s">
        <v>9</v>
      </c>
      <c r="D44" s="13" t="s">
        <v>35</v>
      </c>
      <c r="E44" s="13">
        <v>2150</v>
      </c>
      <c r="F44" s="13"/>
      <c r="G44" s="14">
        <v>493000</v>
      </c>
      <c r="H44" s="15">
        <v>46276</v>
      </c>
      <c r="I44" s="13" t="s">
        <v>72</v>
      </c>
      <c r="J44" s="16">
        <v>2</v>
      </c>
      <c r="K44" s="16">
        <v>1</v>
      </c>
      <c r="L44" s="13">
        <v>1</v>
      </c>
      <c r="M44" s="16">
        <v>1</v>
      </c>
      <c r="N44" s="16"/>
      <c r="O44" s="16">
        <v>92</v>
      </c>
      <c r="P44" s="13">
        <v>24</v>
      </c>
      <c r="Q44" s="13">
        <v>0</v>
      </c>
      <c r="R44" s="12" t="s">
        <v>128</v>
      </c>
      <c r="S44" s="12" t="s">
        <v>112</v>
      </c>
    </row>
    <row r="45" spans="1:19" ht="20" customHeight="1">
      <c r="A45" s="13">
        <v>44</v>
      </c>
      <c r="B45" s="12" t="s">
        <v>129</v>
      </c>
      <c r="C45" s="13" t="s">
        <v>9</v>
      </c>
      <c r="D45" s="13" t="s">
        <v>35</v>
      </c>
      <c r="E45" s="13">
        <v>2150</v>
      </c>
      <c r="F45" s="13"/>
      <c r="G45" s="14">
        <v>660000</v>
      </c>
      <c r="H45" s="15">
        <v>46274</v>
      </c>
      <c r="I45" s="13" t="s">
        <v>36</v>
      </c>
      <c r="J45" s="16">
        <v>2</v>
      </c>
      <c r="K45" s="16">
        <v>2</v>
      </c>
      <c r="L45" s="13">
        <v>1</v>
      </c>
      <c r="M45" s="16">
        <v>1</v>
      </c>
      <c r="N45" s="16"/>
      <c r="O45" s="16">
        <v>122</v>
      </c>
      <c r="P45" s="13">
        <v>24</v>
      </c>
      <c r="Q45" s="13">
        <v>0</v>
      </c>
      <c r="R45" s="12" t="s">
        <v>130</v>
      </c>
      <c r="S45" s="12" t="s">
        <v>112</v>
      </c>
    </row>
    <row r="46" spans="1:19" ht="20" customHeight="1">
      <c r="A46" s="13">
        <v>45</v>
      </c>
      <c r="B46" s="12" t="s">
        <v>131</v>
      </c>
      <c r="C46" s="13" t="s">
        <v>9</v>
      </c>
      <c r="D46" s="13" t="s">
        <v>35</v>
      </c>
      <c r="E46" s="13">
        <v>2150</v>
      </c>
      <c r="F46" s="13"/>
      <c r="G46" s="14">
        <v>705000</v>
      </c>
      <c r="H46" s="15">
        <v>46269</v>
      </c>
      <c r="I46" s="13" t="s">
        <v>36</v>
      </c>
      <c r="J46" s="16">
        <v>2</v>
      </c>
      <c r="K46" s="16">
        <v>2</v>
      </c>
      <c r="L46" s="13">
        <v>1</v>
      </c>
      <c r="M46" s="16">
        <v>1</v>
      </c>
      <c r="N46" s="16"/>
      <c r="O46" s="16"/>
      <c r="P46" s="13">
        <v>24</v>
      </c>
      <c r="Q46" s="13">
        <v>1</v>
      </c>
      <c r="R46" s="12" t="s">
        <v>132</v>
      </c>
      <c r="S46" s="12" t="s">
        <v>112</v>
      </c>
    </row>
    <row r="47" spans="1:19" ht="20" customHeight="1">
      <c r="A47" s="13">
        <v>46</v>
      </c>
      <c r="B47" s="12" t="s">
        <v>133</v>
      </c>
      <c r="C47" s="13" t="s">
        <v>9</v>
      </c>
      <c r="D47" s="13" t="s">
        <v>35</v>
      </c>
      <c r="E47" s="13">
        <v>2150</v>
      </c>
      <c r="F47" s="13"/>
      <c r="G47" s="14">
        <v>580000</v>
      </c>
      <c r="H47" s="15">
        <v>46269</v>
      </c>
      <c r="I47" s="13" t="s">
        <v>36</v>
      </c>
      <c r="J47" s="16">
        <v>2</v>
      </c>
      <c r="K47" s="16">
        <v>2</v>
      </c>
      <c r="L47" s="13">
        <v>1</v>
      </c>
      <c r="M47" s="16">
        <v>1</v>
      </c>
      <c r="N47" s="16"/>
      <c r="O47" s="16">
        <v>136</v>
      </c>
      <c r="P47" s="13">
        <v>24</v>
      </c>
      <c r="Q47" s="13">
        <v>0</v>
      </c>
      <c r="R47" s="12" t="s">
        <v>134</v>
      </c>
      <c r="S47" s="12" t="s">
        <v>112</v>
      </c>
    </row>
    <row r="48" spans="1:19" ht="20" customHeight="1">
      <c r="A48" s="13">
        <v>47</v>
      </c>
      <c r="B48" s="12" t="s">
        <v>135</v>
      </c>
      <c r="C48" s="13" t="s">
        <v>9</v>
      </c>
      <c r="D48" s="13" t="s">
        <v>35</v>
      </c>
      <c r="E48" s="13">
        <v>2150</v>
      </c>
      <c r="F48" s="13"/>
      <c r="G48" s="14">
        <v>425000</v>
      </c>
      <c r="H48" s="15">
        <v>46269</v>
      </c>
      <c r="I48" s="13" t="s">
        <v>36</v>
      </c>
      <c r="J48" s="16">
        <v>1</v>
      </c>
      <c r="K48" s="16">
        <v>1</v>
      </c>
      <c r="L48" s="13">
        <v>1</v>
      </c>
      <c r="M48" s="16">
        <v>1</v>
      </c>
      <c r="N48" s="16"/>
      <c r="O48" s="16"/>
      <c r="P48" s="13">
        <v>24</v>
      </c>
      <c r="Q48" s="13">
        <v>0</v>
      </c>
      <c r="R48" s="12" t="s">
        <v>136</v>
      </c>
      <c r="S48" s="12" t="s">
        <v>112</v>
      </c>
    </row>
    <row r="49" spans="1:19" ht="20" customHeight="1">
      <c r="A49" s="13">
        <v>48</v>
      </c>
      <c r="B49" s="12" t="s">
        <v>137</v>
      </c>
      <c r="C49" s="13" t="s">
        <v>9</v>
      </c>
      <c r="D49" s="13" t="s">
        <v>35</v>
      </c>
      <c r="E49" s="13">
        <v>2150</v>
      </c>
      <c r="F49" s="13"/>
      <c r="G49" s="14">
        <v>570000</v>
      </c>
      <c r="H49" s="15">
        <v>46268</v>
      </c>
      <c r="I49" s="13" t="s">
        <v>36</v>
      </c>
      <c r="J49" s="16">
        <v>2</v>
      </c>
      <c r="K49" s="16">
        <v>2</v>
      </c>
      <c r="L49" s="13">
        <v>1</v>
      </c>
      <c r="M49" s="16">
        <v>1</v>
      </c>
      <c r="N49" s="16"/>
      <c r="O49" s="16"/>
      <c r="P49" s="13">
        <v>24</v>
      </c>
      <c r="Q49" s="13">
        <v>0</v>
      </c>
      <c r="R49" s="12" t="s">
        <v>138</v>
      </c>
      <c r="S49" s="12" t="s">
        <v>112</v>
      </c>
    </row>
    <row r="50" spans="1:19" ht="20" customHeight="1">
      <c r="A50" s="13">
        <v>49</v>
      </c>
      <c r="B50" s="12" t="s">
        <v>139</v>
      </c>
      <c r="C50" s="13" t="s">
        <v>9</v>
      </c>
      <c r="D50" s="13" t="s">
        <v>35</v>
      </c>
      <c r="E50" s="13">
        <v>2150</v>
      </c>
      <c r="F50" s="13"/>
      <c r="G50" s="14">
        <v>546000</v>
      </c>
      <c r="H50" s="15">
        <v>46266</v>
      </c>
      <c r="I50" s="13" t="s">
        <v>72</v>
      </c>
      <c r="J50" s="16">
        <v>2</v>
      </c>
      <c r="K50" s="16">
        <v>1</v>
      </c>
      <c r="L50" s="13">
        <v>1</v>
      </c>
      <c r="M50" s="16">
        <v>1</v>
      </c>
      <c r="N50" s="16">
        <v>123</v>
      </c>
      <c r="O50" s="16"/>
      <c r="P50" s="13">
        <v>24</v>
      </c>
      <c r="Q50" s="13">
        <v>0</v>
      </c>
      <c r="R50" s="12" t="s">
        <v>140</v>
      </c>
      <c r="S50" s="12" t="s">
        <v>112</v>
      </c>
    </row>
    <row r="51" spans="1:19" ht="20" customHeight="1">
      <c r="A51" s="13">
        <v>50</v>
      </c>
      <c r="B51" s="12" t="s">
        <v>141</v>
      </c>
      <c r="C51" s="13" t="s">
        <v>9</v>
      </c>
      <c r="D51" s="13" t="s">
        <v>35</v>
      </c>
      <c r="E51" s="13">
        <v>2150</v>
      </c>
      <c r="F51" s="13"/>
      <c r="G51" s="14">
        <v>490000</v>
      </c>
      <c r="H51" s="15">
        <v>46266</v>
      </c>
      <c r="I51" s="13" t="s">
        <v>36</v>
      </c>
      <c r="J51" s="16">
        <v>1</v>
      </c>
      <c r="K51" s="16">
        <v>1</v>
      </c>
      <c r="L51" s="13"/>
      <c r="M51" s="16"/>
      <c r="N51" s="16"/>
      <c r="O51" s="16">
        <v>93</v>
      </c>
      <c r="P51" s="13">
        <v>24</v>
      </c>
      <c r="Q51" s="13">
        <v>1</v>
      </c>
      <c r="R51" s="12" t="s">
        <v>142</v>
      </c>
      <c r="S51" s="12" t="s">
        <v>112</v>
      </c>
    </row>
    <row r="52" spans="1:19" ht="20" customHeight="1">
      <c r="A52" s="13">
        <v>51</v>
      </c>
      <c r="B52" s="12" t="s">
        <v>143</v>
      </c>
      <c r="C52" s="13" t="s">
        <v>9</v>
      </c>
      <c r="D52" s="13" t="s">
        <v>35</v>
      </c>
      <c r="E52" s="13">
        <v>2150</v>
      </c>
      <c r="F52" s="13"/>
      <c r="G52" s="14">
        <v>650000</v>
      </c>
      <c r="H52" s="15">
        <v>46265</v>
      </c>
      <c r="I52" s="13" t="s">
        <v>72</v>
      </c>
      <c r="J52" s="16">
        <v>2</v>
      </c>
      <c r="K52" s="16">
        <v>1</v>
      </c>
      <c r="L52" s="13">
        <v>1</v>
      </c>
      <c r="M52" s="16">
        <v>1</v>
      </c>
      <c r="N52" s="16"/>
      <c r="O52" s="16"/>
      <c r="P52" s="13">
        <v>24</v>
      </c>
      <c r="Q52" s="13">
        <v>0</v>
      </c>
      <c r="R52" s="12" t="s">
        <v>144</v>
      </c>
      <c r="S52" s="12" t="s">
        <v>112</v>
      </c>
    </row>
    <row r="53" spans="1:19" ht="20" customHeight="1">
      <c r="A53" s="13">
        <v>52</v>
      </c>
      <c r="B53" s="12" t="s">
        <v>145</v>
      </c>
      <c r="C53" s="13" t="s">
        <v>9</v>
      </c>
      <c r="D53" s="13" t="s">
        <v>35</v>
      </c>
      <c r="E53" s="13">
        <v>2150</v>
      </c>
      <c r="F53" s="13"/>
      <c r="G53" s="14">
        <v>569000</v>
      </c>
      <c r="H53" s="15">
        <v>46265</v>
      </c>
      <c r="I53" s="13" t="s">
        <v>72</v>
      </c>
      <c r="J53" s="16">
        <v>2</v>
      </c>
      <c r="K53" s="16">
        <v>1</v>
      </c>
      <c r="L53" s="13">
        <v>1</v>
      </c>
      <c r="M53" s="16">
        <v>1</v>
      </c>
      <c r="N53" s="16"/>
      <c r="O53" s="16">
        <v>104</v>
      </c>
      <c r="P53" s="13">
        <v>24</v>
      </c>
      <c r="Q53" s="13">
        <v>1</v>
      </c>
      <c r="R53" s="12" t="s">
        <v>146</v>
      </c>
      <c r="S53" s="12" t="s">
        <v>112</v>
      </c>
    </row>
    <row r="54" spans="1:19" ht="20" customHeight="1">
      <c r="A54" s="13">
        <v>53</v>
      </c>
      <c r="B54" s="12" t="s">
        <v>147</v>
      </c>
      <c r="C54" s="13" t="s">
        <v>9</v>
      </c>
      <c r="D54" s="13" t="s">
        <v>35</v>
      </c>
      <c r="E54" s="13">
        <v>2150</v>
      </c>
      <c r="F54" s="13"/>
      <c r="G54" s="14">
        <v>540000</v>
      </c>
      <c r="H54" s="15">
        <v>46264</v>
      </c>
      <c r="I54" s="13" t="s">
        <v>36</v>
      </c>
      <c r="J54" s="16">
        <v>2</v>
      </c>
      <c r="K54" s="16">
        <v>2</v>
      </c>
      <c r="L54" s="13">
        <v>1</v>
      </c>
      <c r="M54" s="16">
        <v>1</v>
      </c>
      <c r="N54" s="16"/>
      <c r="O54" s="16"/>
      <c r="P54" s="13">
        <v>24</v>
      </c>
      <c r="Q54" s="13">
        <v>0</v>
      </c>
      <c r="R54" s="12" t="s">
        <v>148</v>
      </c>
      <c r="S54" s="12" t="s">
        <v>112</v>
      </c>
    </row>
    <row r="55" spans="1:19" ht="20" customHeight="1">
      <c r="A55" s="13">
        <v>54</v>
      </c>
      <c r="B55" s="12" t="s">
        <v>149</v>
      </c>
      <c r="C55" s="13" t="s">
        <v>9</v>
      </c>
      <c r="D55" s="13" t="s">
        <v>35</v>
      </c>
      <c r="E55" s="13">
        <v>2150</v>
      </c>
      <c r="F55" s="13"/>
      <c r="G55" s="14">
        <v>680000</v>
      </c>
      <c r="H55" s="15">
        <v>46262</v>
      </c>
      <c r="I55" s="13" t="s">
        <v>36</v>
      </c>
      <c r="J55" s="16">
        <v>2</v>
      </c>
      <c r="K55" s="16">
        <v>1</v>
      </c>
      <c r="L55" s="13">
        <v>1</v>
      </c>
      <c r="M55" s="16">
        <v>1</v>
      </c>
      <c r="N55" s="16"/>
      <c r="O55" s="16"/>
      <c r="P55" s="13">
        <v>24</v>
      </c>
      <c r="Q55" s="13">
        <v>0</v>
      </c>
      <c r="R55" s="12" t="s">
        <v>150</v>
      </c>
      <c r="S55" s="12" t="s">
        <v>112</v>
      </c>
    </row>
    <row r="56" spans="1:19" ht="20" customHeight="1">
      <c r="A56" s="13">
        <v>55</v>
      </c>
      <c r="B56" s="12" t="s">
        <v>151</v>
      </c>
      <c r="C56" s="13" t="s">
        <v>9</v>
      </c>
      <c r="D56" s="13" t="s">
        <v>35</v>
      </c>
      <c r="E56" s="13">
        <v>2150</v>
      </c>
      <c r="F56" s="13"/>
      <c r="G56" s="14">
        <v>590000</v>
      </c>
      <c r="H56" s="15">
        <v>46262</v>
      </c>
      <c r="I56" s="13" t="s">
        <v>36</v>
      </c>
      <c r="J56" s="16">
        <v>2</v>
      </c>
      <c r="K56" s="16">
        <v>2</v>
      </c>
      <c r="L56" s="13">
        <v>1</v>
      </c>
      <c r="M56" s="16">
        <v>1</v>
      </c>
      <c r="N56" s="16"/>
      <c r="O56" s="16"/>
      <c r="P56" s="13">
        <v>24</v>
      </c>
      <c r="Q56" s="13">
        <v>0</v>
      </c>
      <c r="R56" s="12" t="s">
        <v>152</v>
      </c>
      <c r="S56" s="12" t="s">
        <v>112</v>
      </c>
    </row>
    <row r="57" spans="1:19" ht="20" customHeight="1">
      <c r="A57" s="13">
        <v>56</v>
      </c>
      <c r="B57" s="12" t="s">
        <v>153</v>
      </c>
      <c r="C57" s="13" t="s">
        <v>9</v>
      </c>
      <c r="D57" s="13" t="s">
        <v>35</v>
      </c>
      <c r="E57" s="13">
        <v>2150</v>
      </c>
      <c r="F57" s="13"/>
      <c r="G57" s="14">
        <v>552000</v>
      </c>
      <c r="H57" s="15">
        <v>46261</v>
      </c>
      <c r="I57" s="13" t="s">
        <v>72</v>
      </c>
      <c r="J57" s="16">
        <v>2</v>
      </c>
      <c r="K57" s="16">
        <v>2</v>
      </c>
      <c r="L57" s="13">
        <v>1</v>
      </c>
      <c r="M57" s="16">
        <v>1</v>
      </c>
      <c r="N57" s="16"/>
      <c r="O57" s="16"/>
      <c r="P57" s="13">
        <v>24</v>
      </c>
      <c r="Q57" s="13">
        <v>0</v>
      </c>
      <c r="R57" s="12" t="s">
        <v>154</v>
      </c>
      <c r="S57" s="12" t="s">
        <v>112</v>
      </c>
    </row>
    <row r="58" spans="1:19" ht="20" customHeight="1">
      <c r="A58" s="13">
        <v>57</v>
      </c>
      <c r="B58" s="12" t="s">
        <v>155</v>
      </c>
      <c r="C58" s="13" t="s">
        <v>9</v>
      </c>
      <c r="D58" s="13" t="s">
        <v>35</v>
      </c>
      <c r="E58" s="13">
        <v>2150</v>
      </c>
      <c r="F58" s="13"/>
      <c r="G58" s="14">
        <v>480000</v>
      </c>
      <c r="H58" s="15">
        <v>46261</v>
      </c>
      <c r="I58" s="13" t="s">
        <v>36</v>
      </c>
      <c r="J58" s="16">
        <v>2</v>
      </c>
      <c r="K58" s="16">
        <v>1</v>
      </c>
      <c r="L58" s="13">
        <v>1</v>
      </c>
      <c r="M58" s="16">
        <v>1</v>
      </c>
      <c r="N58" s="16"/>
      <c r="O58" s="16"/>
      <c r="P58" s="13">
        <v>24</v>
      </c>
      <c r="Q58" s="13">
        <v>0</v>
      </c>
      <c r="R58" s="12" t="s">
        <v>156</v>
      </c>
      <c r="S58" s="12" t="s">
        <v>112</v>
      </c>
    </row>
    <row r="59" spans="1:19" ht="20" customHeight="1">
      <c r="A59" s="13">
        <v>58</v>
      </c>
      <c r="B59" s="12" t="s">
        <v>157</v>
      </c>
      <c r="C59" s="13" t="s">
        <v>9</v>
      </c>
      <c r="D59" s="13" t="s">
        <v>35</v>
      </c>
      <c r="E59" s="13">
        <v>2150</v>
      </c>
      <c r="F59" s="13"/>
      <c r="G59" s="14">
        <v>720000</v>
      </c>
      <c r="H59" s="15">
        <v>46259</v>
      </c>
      <c r="I59" s="13" t="s">
        <v>36</v>
      </c>
      <c r="J59" s="16">
        <v>3</v>
      </c>
      <c r="K59" s="16">
        <v>2</v>
      </c>
      <c r="L59" s="13">
        <v>1</v>
      </c>
      <c r="M59" s="16">
        <v>1</v>
      </c>
      <c r="N59" s="16"/>
      <c r="O59" s="16">
        <v>189</v>
      </c>
      <c r="P59" s="13">
        <v>24</v>
      </c>
      <c r="Q59" s="13">
        <v>0</v>
      </c>
      <c r="R59" s="12" t="s">
        <v>158</v>
      </c>
      <c r="S59" s="12" t="s">
        <v>112</v>
      </c>
    </row>
    <row r="60" spans="1:19" ht="20" customHeight="1">
      <c r="A60" s="13">
        <v>59</v>
      </c>
      <c r="B60" s="12" t="s">
        <v>159</v>
      </c>
      <c r="C60" s="13" t="s">
        <v>9</v>
      </c>
      <c r="D60" s="13" t="s">
        <v>35</v>
      </c>
      <c r="E60" s="13">
        <v>2150</v>
      </c>
      <c r="F60" s="13"/>
      <c r="G60" s="14">
        <v>680000</v>
      </c>
      <c r="H60" s="15">
        <v>46259</v>
      </c>
      <c r="I60" s="13" t="s">
        <v>36</v>
      </c>
      <c r="J60" s="16">
        <v>2</v>
      </c>
      <c r="K60" s="16">
        <v>2</v>
      </c>
      <c r="L60" s="13">
        <v>1</v>
      </c>
      <c r="M60" s="16">
        <v>1</v>
      </c>
      <c r="N60" s="16"/>
      <c r="O60" s="16"/>
      <c r="P60" s="13">
        <v>24</v>
      </c>
      <c r="Q60" s="13">
        <v>0</v>
      </c>
      <c r="R60" s="12" t="s">
        <v>160</v>
      </c>
      <c r="S60" s="12" t="s">
        <v>112</v>
      </c>
    </row>
    <row r="61" spans="1:19" ht="20" customHeight="1">
      <c r="A61" s="13">
        <v>60</v>
      </c>
      <c r="B61" s="12" t="s">
        <v>161</v>
      </c>
      <c r="C61" s="13" t="s">
        <v>9</v>
      </c>
      <c r="D61" s="13" t="s">
        <v>35</v>
      </c>
      <c r="E61" s="13">
        <v>2150</v>
      </c>
      <c r="F61" s="13"/>
      <c r="G61" s="14">
        <v>560000</v>
      </c>
      <c r="H61" s="15">
        <v>46259</v>
      </c>
      <c r="I61" s="13" t="s">
        <v>36</v>
      </c>
      <c r="J61" s="16">
        <v>1</v>
      </c>
      <c r="K61" s="16">
        <v>1</v>
      </c>
      <c r="L61" s="13">
        <v>1</v>
      </c>
      <c r="M61" s="16">
        <v>1</v>
      </c>
      <c r="N61" s="16"/>
      <c r="O61" s="16">
        <v>76</v>
      </c>
      <c r="P61" s="13">
        <v>24</v>
      </c>
      <c r="Q61" s="13">
        <v>1</v>
      </c>
      <c r="R61" s="12" t="s">
        <v>162</v>
      </c>
      <c r="S61" s="12" t="s">
        <v>163</v>
      </c>
    </row>
    <row r="62" spans="1:19" ht="20" customHeight="1">
      <c r="A62" s="13">
        <v>61</v>
      </c>
      <c r="B62" s="12" t="s">
        <v>164</v>
      </c>
      <c r="C62" s="13" t="s">
        <v>9</v>
      </c>
      <c r="D62" s="13" t="s">
        <v>35</v>
      </c>
      <c r="E62" s="13">
        <v>2150</v>
      </c>
      <c r="F62" s="13"/>
      <c r="G62" s="14">
        <v>405000</v>
      </c>
      <c r="H62" s="15">
        <v>46259</v>
      </c>
      <c r="I62" s="13" t="s">
        <v>36</v>
      </c>
      <c r="J62" s="16">
        <v>1</v>
      </c>
      <c r="K62" s="16">
        <v>1</v>
      </c>
      <c r="L62" s="13">
        <v>1</v>
      </c>
      <c r="M62" s="16">
        <v>1</v>
      </c>
      <c r="N62" s="16"/>
      <c r="O62" s="16"/>
      <c r="P62" s="13">
        <v>24</v>
      </c>
      <c r="Q62" s="13">
        <v>0</v>
      </c>
      <c r="R62" s="12" t="s">
        <v>165</v>
      </c>
      <c r="S62" s="12" t="s">
        <v>163</v>
      </c>
    </row>
    <row r="63" spans="1:19" ht="20" customHeight="1">
      <c r="A63" s="13">
        <v>62</v>
      </c>
      <c r="B63" s="12" t="s">
        <v>166</v>
      </c>
      <c r="C63" s="13" t="s">
        <v>9</v>
      </c>
      <c r="D63" s="13" t="s">
        <v>35</v>
      </c>
      <c r="E63" s="13">
        <v>2150</v>
      </c>
      <c r="F63" s="13"/>
      <c r="G63" s="14">
        <v>410000</v>
      </c>
      <c r="H63" s="15">
        <v>46258</v>
      </c>
      <c r="I63" s="13" t="s">
        <v>36</v>
      </c>
      <c r="J63" s="16">
        <v>1</v>
      </c>
      <c r="K63" s="16">
        <v>1</v>
      </c>
      <c r="L63" s="13"/>
      <c r="M63" s="16"/>
      <c r="N63" s="16"/>
      <c r="O63" s="16"/>
      <c r="P63" s="13">
        <v>24</v>
      </c>
      <c r="Q63" s="13">
        <v>0</v>
      </c>
      <c r="R63" s="12" t="s">
        <v>167</v>
      </c>
      <c r="S63" s="12" t="s">
        <v>163</v>
      </c>
    </row>
    <row r="64" spans="1:19" ht="20" customHeight="1">
      <c r="A64" s="13">
        <v>63</v>
      </c>
      <c r="B64" s="12" t="s">
        <v>168</v>
      </c>
      <c r="C64" s="13" t="s">
        <v>9</v>
      </c>
      <c r="D64" s="13" t="s">
        <v>35</v>
      </c>
      <c r="E64" s="13">
        <v>2150</v>
      </c>
      <c r="F64" s="13"/>
      <c r="G64" s="14">
        <v>200000</v>
      </c>
      <c r="H64" s="15">
        <v>46257</v>
      </c>
      <c r="I64" s="13" t="s">
        <v>169</v>
      </c>
      <c r="J64" s="16">
        <v>1</v>
      </c>
      <c r="K64" s="16">
        <v>1</v>
      </c>
      <c r="L64" s="13"/>
      <c r="M64" s="16"/>
      <c r="N64" s="16"/>
      <c r="O64" s="16"/>
      <c r="P64" s="13">
        <v>24</v>
      </c>
      <c r="Q64" s="13">
        <v>1</v>
      </c>
      <c r="R64" s="12" t="s">
        <v>170</v>
      </c>
      <c r="S64" s="12" t="s">
        <v>163</v>
      </c>
    </row>
    <row r="65" spans="1:19" ht="20" customHeight="1">
      <c r="A65" s="13">
        <v>64</v>
      </c>
      <c r="B65" s="12" t="s">
        <v>171</v>
      </c>
      <c r="C65" s="13" t="s">
        <v>9</v>
      </c>
      <c r="D65" s="13" t="s">
        <v>35</v>
      </c>
      <c r="E65" s="13">
        <v>2150</v>
      </c>
      <c r="F65" s="13"/>
      <c r="G65" s="14">
        <v>800000</v>
      </c>
      <c r="H65" s="15">
        <v>46255</v>
      </c>
      <c r="I65" s="13" t="s">
        <v>36</v>
      </c>
      <c r="J65" s="16">
        <v>2</v>
      </c>
      <c r="K65" s="16">
        <v>2</v>
      </c>
      <c r="L65" s="13">
        <v>1</v>
      </c>
      <c r="M65" s="16">
        <v>1</v>
      </c>
      <c r="N65" s="16"/>
      <c r="O65" s="16"/>
      <c r="P65" s="13">
        <v>24</v>
      </c>
      <c r="Q65" s="13">
        <v>0</v>
      </c>
      <c r="R65" s="12" t="s">
        <v>172</v>
      </c>
      <c r="S65" s="12" t="s">
        <v>163</v>
      </c>
    </row>
    <row r="66" spans="1:19" ht="20" customHeight="1">
      <c r="A66" s="13">
        <v>65</v>
      </c>
      <c r="B66" s="12" t="s">
        <v>173</v>
      </c>
      <c r="C66" s="13" t="s">
        <v>9</v>
      </c>
      <c r="D66" s="13" t="s">
        <v>35</v>
      </c>
      <c r="E66" s="13">
        <v>2150</v>
      </c>
      <c r="F66" s="13"/>
      <c r="G66" s="14">
        <v>641000</v>
      </c>
      <c r="H66" s="15">
        <v>46255</v>
      </c>
      <c r="I66" s="13" t="s">
        <v>36</v>
      </c>
      <c r="J66" s="16">
        <v>2</v>
      </c>
      <c r="K66" s="16">
        <v>2</v>
      </c>
      <c r="L66" s="13">
        <v>1</v>
      </c>
      <c r="M66" s="16">
        <v>1</v>
      </c>
      <c r="N66" s="16"/>
      <c r="O66" s="16">
        <v>132</v>
      </c>
      <c r="P66" s="13">
        <v>24</v>
      </c>
      <c r="Q66" s="13">
        <v>1</v>
      </c>
      <c r="R66" s="12" t="s">
        <v>174</v>
      </c>
      <c r="S66" s="12" t="s">
        <v>163</v>
      </c>
    </row>
    <row r="67" spans="1:19" ht="20" customHeight="1">
      <c r="A67" s="13">
        <v>66</v>
      </c>
      <c r="B67" s="12" t="s">
        <v>175</v>
      </c>
      <c r="C67" s="13" t="s">
        <v>9</v>
      </c>
      <c r="D67" s="13" t="s">
        <v>35</v>
      </c>
      <c r="E67" s="13">
        <v>2150</v>
      </c>
      <c r="F67" s="13"/>
      <c r="G67" s="14">
        <v>600000</v>
      </c>
      <c r="H67" s="15">
        <v>46255</v>
      </c>
      <c r="I67" s="13" t="s">
        <v>36</v>
      </c>
      <c r="J67" s="16">
        <v>1</v>
      </c>
      <c r="K67" s="16">
        <v>1</v>
      </c>
      <c r="L67" s="13">
        <v>1</v>
      </c>
      <c r="M67" s="16">
        <v>1</v>
      </c>
      <c r="N67" s="16"/>
      <c r="O67" s="16">
        <v>72</v>
      </c>
      <c r="P67" s="13">
        <v>24</v>
      </c>
      <c r="Q67" s="13">
        <v>0</v>
      </c>
      <c r="R67" s="12" t="s">
        <v>176</v>
      </c>
      <c r="S67" s="12" t="s">
        <v>163</v>
      </c>
    </row>
    <row r="68" spans="1:19" ht="20" customHeight="1">
      <c r="A68" s="13">
        <v>67</v>
      </c>
      <c r="B68" s="12" t="s">
        <v>177</v>
      </c>
      <c r="C68" s="13" t="s">
        <v>9</v>
      </c>
      <c r="D68" s="13" t="s">
        <v>35</v>
      </c>
      <c r="E68" s="13">
        <v>2150</v>
      </c>
      <c r="F68" s="13"/>
      <c r="G68" s="14">
        <v>550000</v>
      </c>
      <c r="H68" s="15">
        <v>46255</v>
      </c>
      <c r="I68" s="13" t="s">
        <v>36</v>
      </c>
      <c r="J68" s="16">
        <v>2</v>
      </c>
      <c r="K68" s="16">
        <v>2</v>
      </c>
      <c r="L68" s="13">
        <v>1</v>
      </c>
      <c r="M68" s="16">
        <v>1</v>
      </c>
      <c r="N68" s="16"/>
      <c r="O68" s="16"/>
      <c r="P68" s="13">
        <v>24</v>
      </c>
      <c r="Q68" s="13">
        <v>0</v>
      </c>
      <c r="R68" s="12" t="s">
        <v>178</v>
      </c>
      <c r="S68" s="12" t="s">
        <v>163</v>
      </c>
    </row>
    <row r="69" spans="1:19" ht="20" customHeight="1">
      <c r="A69" s="13">
        <v>68</v>
      </c>
      <c r="B69" s="12" t="s">
        <v>179</v>
      </c>
      <c r="C69" s="13" t="s">
        <v>9</v>
      </c>
      <c r="D69" s="13" t="s">
        <v>35</v>
      </c>
      <c r="E69" s="13">
        <v>2150</v>
      </c>
      <c r="F69" s="13"/>
      <c r="G69" s="14">
        <v>650000</v>
      </c>
      <c r="H69" s="15">
        <v>46251</v>
      </c>
      <c r="I69" s="13" t="s">
        <v>36</v>
      </c>
      <c r="J69" s="16">
        <v>2</v>
      </c>
      <c r="K69" s="16">
        <v>2</v>
      </c>
      <c r="L69" s="13">
        <v>1</v>
      </c>
      <c r="M69" s="16">
        <v>1</v>
      </c>
      <c r="N69" s="16"/>
      <c r="O69" s="16"/>
      <c r="P69" s="13">
        <v>24</v>
      </c>
      <c r="Q69" s="13">
        <v>0</v>
      </c>
      <c r="R69" s="12" t="s">
        <v>180</v>
      </c>
      <c r="S69" s="12" t="s">
        <v>163</v>
      </c>
    </row>
    <row r="70" spans="1:19" ht="20" customHeight="1">
      <c r="A70" s="13">
        <v>69</v>
      </c>
      <c r="B70" s="12" t="s">
        <v>181</v>
      </c>
      <c r="C70" s="13" t="s">
        <v>11</v>
      </c>
      <c r="D70" s="13" t="s">
        <v>35</v>
      </c>
      <c r="E70" s="13">
        <v>2750</v>
      </c>
      <c r="F70" s="13"/>
      <c r="G70" s="14">
        <v>680000</v>
      </c>
      <c r="H70" s="15">
        <v>46281</v>
      </c>
      <c r="I70" s="13" t="s">
        <v>87</v>
      </c>
      <c r="J70" s="16">
        <v>3</v>
      </c>
      <c r="K70" s="16">
        <v>2</v>
      </c>
      <c r="L70" s="13">
        <v>1</v>
      </c>
      <c r="M70" s="16">
        <v>1</v>
      </c>
      <c r="N70" s="16">
        <v>163</v>
      </c>
      <c r="O70" s="16"/>
      <c r="P70" s="13">
        <v>50</v>
      </c>
      <c r="Q70" s="13">
        <v>0</v>
      </c>
      <c r="R70" s="12" t="s">
        <v>182</v>
      </c>
      <c r="S70" s="12" t="s">
        <v>183</v>
      </c>
    </row>
    <row r="71" spans="1:19" ht="20" customHeight="1">
      <c r="A71" s="13">
        <v>70</v>
      </c>
      <c r="B71" s="12" t="s">
        <v>184</v>
      </c>
      <c r="C71" s="13" t="s">
        <v>11</v>
      </c>
      <c r="D71" s="13" t="s">
        <v>35</v>
      </c>
      <c r="E71" s="13">
        <v>2750</v>
      </c>
      <c r="F71" s="13">
        <v>2016</v>
      </c>
      <c r="G71" s="14">
        <v>425000</v>
      </c>
      <c r="H71" s="15">
        <v>46274</v>
      </c>
      <c r="I71" s="13" t="s">
        <v>72</v>
      </c>
      <c r="J71" s="16">
        <v>1</v>
      </c>
      <c r="K71" s="16">
        <v>1</v>
      </c>
      <c r="L71" s="13"/>
      <c r="M71" s="16"/>
      <c r="N71" s="16">
        <v>67</v>
      </c>
      <c r="O71" s="16"/>
      <c r="P71" s="13">
        <v>50</v>
      </c>
      <c r="Q71" s="13">
        <v>0</v>
      </c>
      <c r="R71" s="12" t="s">
        <v>185</v>
      </c>
      <c r="S71" s="12" t="s">
        <v>183</v>
      </c>
    </row>
    <row r="72" spans="1:19" ht="20" customHeight="1">
      <c r="A72" s="13">
        <v>71</v>
      </c>
      <c r="B72" s="12" t="s">
        <v>186</v>
      </c>
      <c r="C72" s="13" t="s">
        <v>11</v>
      </c>
      <c r="D72" s="13" t="s">
        <v>35</v>
      </c>
      <c r="E72" s="13">
        <v>2750</v>
      </c>
      <c r="F72" s="13"/>
      <c r="G72" s="14">
        <v>840000</v>
      </c>
      <c r="H72" s="15">
        <v>46269</v>
      </c>
      <c r="I72" s="13" t="s">
        <v>87</v>
      </c>
      <c r="J72" s="16">
        <v>3</v>
      </c>
      <c r="K72" s="16">
        <v>2</v>
      </c>
      <c r="L72" s="13">
        <v>1</v>
      </c>
      <c r="M72" s="16">
        <v>1</v>
      </c>
      <c r="N72" s="16"/>
      <c r="O72" s="16"/>
      <c r="P72" s="13">
        <v>50</v>
      </c>
      <c r="Q72" s="13">
        <v>0</v>
      </c>
      <c r="R72" s="12" t="s">
        <v>187</v>
      </c>
      <c r="S72" s="12" t="s">
        <v>183</v>
      </c>
    </row>
    <row r="73" spans="1:19" ht="20" customHeight="1">
      <c r="A73" s="13">
        <v>72</v>
      </c>
      <c r="B73" s="12" t="s">
        <v>188</v>
      </c>
      <c r="C73" s="13" t="s">
        <v>11</v>
      </c>
      <c r="D73" s="13" t="s">
        <v>35</v>
      </c>
      <c r="E73" s="13">
        <v>2750</v>
      </c>
      <c r="F73" s="13"/>
      <c r="G73" s="14">
        <v>635000</v>
      </c>
      <c r="H73" s="15">
        <v>46269</v>
      </c>
      <c r="I73" s="13" t="s">
        <v>36</v>
      </c>
      <c r="J73" s="16">
        <v>2</v>
      </c>
      <c r="K73" s="16">
        <v>2</v>
      </c>
      <c r="L73" s="13">
        <v>1</v>
      </c>
      <c r="M73" s="16">
        <v>1</v>
      </c>
      <c r="N73" s="16"/>
      <c r="O73" s="16">
        <v>88</v>
      </c>
      <c r="P73" s="13">
        <v>50</v>
      </c>
      <c r="Q73" s="13">
        <v>0</v>
      </c>
      <c r="R73" s="12" t="s">
        <v>189</v>
      </c>
      <c r="S73" s="12" t="s">
        <v>183</v>
      </c>
    </row>
    <row r="74" spans="1:19" ht="20" customHeight="1">
      <c r="A74" s="13">
        <v>73</v>
      </c>
      <c r="B74" s="12" t="s">
        <v>190</v>
      </c>
      <c r="C74" s="13" t="s">
        <v>11</v>
      </c>
      <c r="D74" s="13" t="s">
        <v>35</v>
      </c>
      <c r="E74" s="13">
        <v>2750</v>
      </c>
      <c r="F74" s="13"/>
      <c r="G74" s="14">
        <v>505000</v>
      </c>
      <c r="H74" s="15">
        <v>46269</v>
      </c>
      <c r="I74" s="13" t="s">
        <v>36</v>
      </c>
      <c r="J74" s="16">
        <v>2</v>
      </c>
      <c r="K74" s="16">
        <v>1</v>
      </c>
      <c r="L74" s="13">
        <v>1</v>
      </c>
      <c r="M74" s="16">
        <v>1</v>
      </c>
      <c r="N74" s="16"/>
      <c r="O74" s="16"/>
      <c r="P74" s="13">
        <v>50</v>
      </c>
      <c r="Q74" s="13">
        <v>0</v>
      </c>
      <c r="R74" s="12" t="s">
        <v>191</v>
      </c>
      <c r="S74" s="12" t="s">
        <v>183</v>
      </c>
    </row>
    <row r="75" spans="1:19" ht="20" customHeight="1">
      <c r="A75" s="13">
        <v>74</v>
      </c>
      <c r="B75" s="12" t="s">
        <v>192</v>
      </c>
      <c r="C75" s="13" t="s">
        <v>11</v>
      </c>
      <c r="D75" s="13" t="s">
        <v>35</v>
      </c>
      <c r="E75" s="13">
        <v>2750</v>
      </c>
      <c r="F75" s="13"/>
      <c r="G75" s="14">
        <v>365000</v>
      </c>
      <c r="H75" s="15">
        <v>46269</v>
      </c>
      <c r="I75" s="13" t="s">
        <v>72</v>
      </c>
      <c r="J75" s="16">
        <v>1</v>
      </c>
      <c r="K75" s="16">
        <v>1</v>
      </c>
      <c r="L75" s="13">
        <v>1</v>
      </c>
      <c r="M75" s="16">
        <v>1</v>
      </c>
      <c r="N75" s="16"/>
      <c r="O75" s="16"/>
      <c r="P75" s="13">
        <v>50</v>
      </c>
      <c r="Q75" s="13">
        <v>0</v>
      </c>
      <c r="R75" s="12" t="s">
        <v>193</v>
      </c>
      <c r="S75" s="12" t="s">
        <v>183</v>
      </c>
    </row>
    <row r="76" spans="1:19" ht="20" customHeight="1">
      <c r="A76" s="13">
        <v>75</v>
      </c>
      <c r="B76" s="12" t="s">
        <v>194</v>
      </c>
      <c r="C76" s="13" t="s">
        <v>11</v>
      </c>
      <c r="D76" s="13" t="s">
        <v>35</v>
      </c>
      <c r="E76" s="13">
        <v>2750</v>
      </c>
      <c r="F76" s="13"/>
      <c r="G76" s="14">
        <v>465000</v>
      </c>
      <c r="H76" s="15">
        <v>46268</v>
      </c>
      <c r="I76" s="13" t="s">
        <v>36</v>
      </c>
      <c r="J76" s="16">
        <v>2</v>
      </c>
      <c r="K76" s="16">
        <v>1</v>
      </c>
      <c r="L76" s="13">
        <v>1</v>
      </c>
      <c r="M76" s="16">
        <v>1</v>
      </c>
      <c r="N76" s="16"/>
      <c r="O76" s="16"/>
      <c r="P76" s="13">
        <v>50</v>
      </c>
      <c r="Q76" s="13">
        <v>0</v>
      </c>
      <c r="R76" s="12" t="s">
        <v>195</v>
      </c>
      <c r="S76" s="12" t="s">
        <v>183</v>
      </c>
    </row>
    <row r="77" spans="1:19" ht="20" customHeight="1">
      <c r="A77" s="13">
        <v>76</v>
      </c>
      <c r="B77" s="12" t="s">
        <v>196</v>
      </c>
      <c r="C77" s="13" t="s">
        <v>11</v>
      </c>
      <c r="D77" s="13" t="s">
        <v>35</v>
      </c>
      <c r="E77" s="13">
        <v>2750</v>
      </c>
      <c r="F77" s="13"/>
      <c r="G77" s="14">
        <v>550000</v>
      </c>
      <c r="H77" s="15">
        <v>46266</v>
      </c>
      <c r="I77" s="13" t="s">
        <v>36</v>
      </c>
      <c r="J77" s="16">
        <v>1</v>
      </c>
      <c r="K77" s="16">
        <v>1</v>
      </c>
      <c r="L77" s="13">
        <v>1</v>
      </c>
      <c r="M77" s="16">
        <v>1</v>
      </c>
      <c r="N77" s="16"/>
      <c r="O77" s="16"/>
      <c r="P77" s="13">
        <v>50</v>
      </c>
      <c r="Q77" s="13">
        <v>0</v>
      </c>
      <c r="R77" s="12" t="s">
        <v>197</v>
      </c>
      <c r="S77" s="12" t="s">
        <v>183</v>
      </c>
    </row>
    <row r="78" spans="1:19" ht="20" customHeight="1">
      <c r="A78" s="13">
        <v>77</v>
      </c>
      <c r="B78" s="12" t="s">
        <v>198</v>
      </c>
      <c r="C78" s="13" t="s">
        <v>11</v>
      </c>
      <c r="D78" s="13" t="s">
        <v>35</v>
      </c>
      <c r="E78" s="13">
        <v>2750</v>
      </c>
      <c r="F78" s="13"/>
      <c r="G78" s="14">
        <v>960000</v>
      </c>
      <c r="H78" s="15">
        <v>46265</v>
      </c>
      <c r="I78" s="13" t="s">
        <v>65</v>
      </c>
      <c r="J78" s="16">
        <v>3</v>
      </c>
      <c r="K78" s="16">
        <v>1</v>
      </c>
      <c r="L78" s="13">
        <v>1</v>
      </c>
      <c r="M78" s="16">
        <v>2</v>
      </c>
      <c r="N78" s="16">
        <v>562.79999999999995</v>
      </c>
      <c r="O78" s="16"/>
      <c r="P78" s="13">
        <v>50</v>
      </c>
      <c r="Q78" s="13">
        <v>0</v>
      </c>
      <c r="R78" s="12" t="s">
        <v>199</v>
      </c>
      <c r="S78" s="12" t="s">
        <v>183</v>
      </c>
    </row>
    <row r="79" spans="1:19" ht="20" customHeight="1">
      <c r="A79" s="13">
        <v>78</v>
      </c>
      <c r="B79" s="12" t="s">
        <v>200</v>
      </c>
      <c r="C79" s="13" t="s">
        <v>11</v>
      </c>
      <c r="D79" s="13" t="s">
        <v>35</v>
      </c>
      <c r="E79" s="13">
        <v>2750</v>
      </c>
      <c r="F79" s="13"/>
      <c r="G79" s="14">
        <v>460000</v>
      </c>
      <c r="H79" s="15">
        <v>46262</v>
      </c>
      <c r="I79" s="13" t="s">
        <v>72</v>
      </c>
      <c r="J79" s="16">
        <v>2</v>
      </c>
      <c r="K79" s="16">
        <v>1</v>
      </c>
      <c r="L79" s="13">
        <v>1</v>
      </c>
      <c r="M79" s="16">
        <v>1</v>
      </c>
      <c r="N79" s="16"/>
      <c r="O79" s="16"/>
      <c r="P79" s="13">
        <v>50</v>
      </c>
      <c r="Q79" s="13">
        <v>1</v>
      </c>
      <c r="R79" s="12" t="s">
        <v>201</v>
      </c>
      <c r="S79" s="12" t="s">
        <v>183</v>
      </c>
    </row>
    <row r="80" spans="1:19" ht="20" customHeight="1">
      <c r="A80" s="13">
        <v>79</v>
      </c>
      <c r="B80" s="12" t="s">
        <v>202</v>
      </c>
      <c r="C80" s="13" t="s">
        <v>11</v>
      </c>
      <c r="D80" s="13" t="s">
        <v>35</v>
      </c>
      <c r="E80" s="13">
        <v>2750</v>
      </c>
      <c r="F80" s="13"/>
      <c r="G80" s="14">
        <v>440000</v>
      </c>
      <c r="H80" s="15">
        <v>46262</v>
      </c>
      <c r="I80" s="13" t="s">
        <v>72</v>
      </c>
      <c r="J80" s="16">
        <v>2</v>
      </c>
      <c r="K80" s="16">
        <v>1</v>
      </c>
      <c r="L80" s="13">
        <v>1</v>
      </c>
      <c r="M80" s="16">
        <v>1</v>
      </c>
      <c r="N80" s="16">
        <v>364</v>
      </c>
      <c r="O80" s="16"/>
      <c r="P80" s="13">
        <v>50</v>
      </c>
      <c r="Q80" s="13">
        <v>0</v>
      </c>
      <c r="R80" s="12" t="s">
        <v>203</v>
      </c>
      <c r="S80" s="12" t="s">
        <v>183</v>
      </c>
    </row>
    <row r="81" spans="1:19" ht="20" customHeight="1">
      <c r="A81" s="13">
        <v>80</v>
      </c>
      <c r="B81" s="12" t="s">
        <v>204</v>
      </c>
      <c r="C81" s="13" t="s">
        <v>11</v>
      </c>
      <c r="D81" s="13" t="s">
        <v>35</v>
      </c>
      <c r="E81" s="13">
        <v>2750</v>
      </c>
      <c r="F81" s="13"/>
      <c r="G81" s="14">
        <v>600000</v>
      </c>
      <c r="H81" s="15">
        <v>46261</v>
      </c>
      <c r="I81" s="13" t="s">
        <v>36</v>
      </c>
      <c r="J81" s="16">
        <v>2</v>
      </c>
      <c r="K81" s="16">
        <v>2</v>
      </c>
      <c r="L81" s="13">
        <v>1</v>
      </c>
      <c r="M81" s="16">
        <v>1</v>
      </c>
      <c r="N81" s="16"/>
      <c r="O81" s="16"/>
      <c r="P81" s="13">
        <v>50</v>
      </c>
      <c r="Q81" s="13">
        <v>0</v>
      </c>
      <c r="R81" s="12" t="s">
        <v>205</v>
      </c>
      <c r="S81" s="12" t="s">
        <v>183</v>
      </c>
    </row>
    <row r="82" spans="1:19" ht="20" customHeight="1">
      <c r="A82" s="13">
        <v>81</v>
      </c>
      <c r="B82" s="12" t="s">
        <v>206</v>
      </c>
      <c r="C82" s="13" t="s">
        <v>11</v>
      </c>
      <c r="D82" s="13" t="s">
        <v>35</v>
      </c>
      <c r="E82" s="13">
        <v>2750</v>
      </c>
      <c r="F82" s="13"/>
      <c r="G82" s="14">
        <v>452000</v>
      </c>
      <c r="H82" s="15">
        <v>46261</v>
      </c>
      <c r="I82" s="13" t="s">
        <v>72</v>
      </c>
      <c r="J82" s="16">
        <v>2</v>
      </c>
      <c r="K82" s="16">
        <v>1</v>
      </c>
      <c r="L82" s="13">
        <v>1</v>
      </c>
      <c r="M82" s="16">
        <v>1</v>
      </c>
      <c r="N82" s="16"/>
      <c r="O82" s="16"/>
      <c r="P82" s="13">
        <v>50</v>
      </c>
      <c r="Q82" s="13">
        <v>0</v>
      </c>
      <c r="R82" s="12" t="s">
        <v>207</v>
      </c>
      <c r="S82" s="12" t="s">
        <v>183</v>
      </c>
    </row>
    <row r="83" spans="1:19" ht="20" customHeight="1">
      <c r="A83" s="13">
        <v>82</v>
      </c>
      <c r="B83" s="12" t="s">
        <v>208</v>
      </c>
      <c r="C83" s="13" t="s">
        <v>11</v>
      </c>
      <c r="D83" s="13" t="s">
        <v>35</v>
      </c>
      <c r="E83" s="13">
        <v>2750</v>
      </c>
      <c r="F83" s="13"/>
      <c r="G83" s="14">
        <v>555000</v>
      </c>
      <c r="H83" s="15">
        <v>46260</v>
      </c>
      <c r="I83" s="13" t="s">
        <v>72</v>
      </c>
      <c r="J83" s="16">
        <v>2</v>
      </c>
      <c r="K83" s="16">
        <v>2</v>
      </c>
      <c r="L83" s="13">
        <v>1</v>
      </c>
      <c r="M83" s="16">
        <v>1</v>
      </c>
      <c r="N83" s="16"/>
      <c r="O83" s="16"/>
      <c r="P83" s="13">
        <v>50</v>
      </c>
      <c r="Q83" s="13">
        <v>0</v>
      </c>
      <c r="R83" s="12" t="s">
        <v>209</v>
      </c>
      <c r="S83" s="12" t="s">
        <v>183</v>
      </c>
    </row>
    <row r="84" spans="1:19" ht="20" customHeight="1">
      <c r="A84" s="13">
        <v>83</v>
      </c>
      <c r="B84" s="12" t="s">
        <v>210</v>
      </c>
      <c r="C84" s="13" t="s">
        <v>11</v>
      </c>
      <c r="D84" s="13" t="s">
        <v>35</v>
      </c>
      <c r="E84" s="13">
        <v>2750</v>
      </c>
      <c r="F84" s="13">
        <v>2022</v>
      </c>
      <c r="G84" s="14">
        <v>380000</v>
      </c>
      <c r="H84" s="15">
        <v>46260</v>
      </c>
      <c r="I84" s="13" t="s">
        <v>169</v>
      </c>
      <c r="J84" s="16"/>
      <c r="K84" s="16">
        <v>1</v>
      </c>
      <c r="L84" s="13"/>
      <c r="M84" s="16"/>
      <c r="N84" s="16"/>
      <c r="O84" s="16">
        <v>47</v>
      </c>
      <c r="P84" s="13">
        <v>50</v>
      </c>
      <c r="Q84" s="13">
        <v>0</v>
      </c>
      <c r="R84" s="12" t="s">
        <v>211</v>
      </c>
      <c r="S84" s="12" t="s">
        <v>183</v>
      </c>
    </row>
    <row r="85" spans="1:19" ht="20" customHeight="1">
      <c r="A85" s="13">
        <v>84</v>
      </c>
      <c r="B85" s="12" t="s">
        <v>212</v>
      </c>
      <c r="C85" s="13" t="s">
        <v>11</v>
      </c>
      <c r="D85" s="13" t="s">
        <v>35</v>
      </c>
      <c r="E85" s="13">
        <v>2750</v>
      </c>
      <c r="F85" s="13"/>
      <c r="G85" s="14">
        <v>450500</v>
      </c>
      <c r="H85" s="15">
        <v>46258</v>
      </c>
      <c r="I85" s="13" t="s">
        <v>72</v>
      </c>
      <c r="J85" s="16">
        <v>2</v>
      </c>
      <c r="K85" s="16">
        <v>1</v>
      </c>
      <c r="L85" s="13">
        <v>1</v>
      </c>
      <c r="M85" s="16">
        <v>1</v>
      </c>
      <c r="N85" s="16"/>
      <c r="O85" s="16"/>
      <c r="P85" s="13">
        <v>50</v>
      </c>
      <c r="Q85" s="13">
        <v>0</v>
      </c>
      <c r="R85" s="12" t="s">
        <v>213</v>
      </c>
      <c r="S85" s="12" t="s">
        <v>183</v>
      </c>
    </row>
    <row r="86" spans="1:19" ht="20" customHeight="1">
      <c r="A86" s="13">
        <v>85</v>
      </c>
      <c r="B86" s="12" t="s">
        <v>214</v>
      </c>
      <c r="C86" s="13" t="s">
        <v>11</v>
      </c>
      <c r="D86" s="13" t="s">
        <v>35</v>
      </c>
      <c r="E86" s="13">
        <v>2750</v>
      </c>
      <c r="F86" s="13"/>
      <c r="G86" s="14">
        <v>600000</v>
      </c>
      <c r="H86" s="15">
        <v>46256</v>
      </c>
      <c r="I86" s="13" t="s">
        <v>72</v>
      </c>
      <c r="J86" s="16">
        <v>2</v>
      </c>
      <c r="K86" s="16">
        <v>2</v>
      </c>
      <c r="L86" s="13">
        <v>1</v>
      </c>
      <c r="M86" s="16">
        <v>1</v>
      </c>
      <c r="N86" s="16"/>
      <c r="O86" s="16"/>
      <c r="P86" s="13">
        <v>50</v>
      </c>
      <c r="Q86" s="13">
        <v>0</v>
      </c>
      <c r="R86" s="12" t="s">
        <v>215</v>
      </c>
      <c r="S86" s="12" t="s">
        <v>183</v>
      </c>
    </row>
    <row r="87" spans="1:19" ht="20" customHeight="1">
      <c r="A87" s="13">
        <v>86</v>
      </c>
      <c r="B87" s="12" t="s">
        <v>216</v>
      </c>
      <c r="C87" s="13" t="s">
        <v>11</v>
      </c>
      <c r="D87" s="13" t="s">
        <v>35</v>
      </c>
      <c r="E87" s="13">
        <v>2750</v>
      </c>
      <c r="F87" s="13"/>
      <c r="G87" s="14">
        <v>870000</v>
      </c>
      <c r="H87" s="15">
        <v>46254</v>
      </c>
      <c r="I87" s="13" t="s">
        <v>65</v>
      </c>
      <c r="J87" s="16">
        <v>3</v>
      </c>
      <c r="K87" s="16">
        <v>1</v>
      </c>
      <c r="L87" s="13">
        <v>1</v>
      </c>
      <c r="M87" s="16">
        <v>4</v>
      </c>
      <c r="N87" s="16">
        <v>561</v>
      </c>
      <c r="O87" s="16"/>
      <c r="P87" s="13">
        <v>50</v>
      </c>
      <c r="Q87" s="13">
        <v>0</v>
      </c>
      <c r="R87" s="12" t="s">
        <v>217</v>
      </c>
      <c r="S87" s="12" t="s">
        <v>183</v>
      </c>
    </row>
    <row r="88" spans="1:19" ht="20" customHeight="1">
      <c r="A88" s="13">
        <v>87</v>
      </c>
      <c r="B88" s="12" t="s">
        <v>218</v>
      </c>
      <c r="C88" s="13" t="s">
        <v>11</v>
      </c>
      <c r="D88" s="13" t="s">
        <v>35</v>
      </c>
      <c r="E88" s="13">
        <v>2750</v>
      </c>
      <c r="F88" s="13"/>
      <c r="G88" s="14">
        <v>850000</v>
      </c>
      <c r="H88" s="15">
        <v>46253</v>
      </c>
      <c r="I88" s="13" t="s">
        <v>87</v>
      </c>
      <c r="J88" s="16">
        <v>3</v>
      </c>
      <c r="K88" s="16">
        <v>2</v>
      </c>
      <c r="L88" s="13">
        <v>1</v>
      </c>
      <c r="M88" s="16">
        <v>2</v>
      </c>
      <c r="N88" s="16">
        <v>191</v>
      </c>
      <c r="O88" s="16"/>
      <c r="P88" s="13">
        <v>50</v>
      </c>
      <c r="Q88" s="13">
        <v>0</v>
      </c>
      <c r="R88" s="12" t="s">
        <v>219</v>
      </c>
      <c r="S88" s="12" t="s">
        <v>183</v>
      </c>
    </row>
    <row r="89" spans="1:19" ht="20" customHeight="1">
      <c r="A89" s="13">
        <v>88</v>
      </c>
      <c r="B89" s="12" t="s">
        <v>220</v>
      </c>
      <c r="C89" s="13" t="s">
        <v>11</v>
      </c>
      <c r="D89" s="13" t="s">
        <v>35</v>
      </c>
      <c r="E89" s="13">
        <v>2750</v>
      </c>
      <c r="F89" s="13"/>
      <c r="G89" s="14">
        <v>720000</v>
      </c>
      <c r="H89" s="15">
        <v>46253</v>
      </c>
      <c r="I89" s="13" t="s">
        <v>87</v>
      </c>
      <c r="J89" s="16">
        <v>3</v>
      </c>
      <c r="K89" s="16">
        <v>1</v>
      </c>
      <c r="L89" s="13">
        <v>1</v>
      </c>
      <c r="M89" s="16">
        <v>1</v>
      </c>
      <c r="N89" s="16"/>
      <c r="O89" s="16"/>
      <c r="P89" s="13">
        <v>50</v>
      </c>
      <c r="Q89" s="13">
        <v>0</v>
      </c>
      <c r="R89" s="12" t="s">
        <v>221</v>
      </c>
      <c r="S89" s="12" t="s">
        <v>183</v>
      </c>
    </row>
    <row r="90" spans="1:19" ht="20" customHeight="1">
      <c r="A90" s="13">
        <v>89</v>
      </c>
      <c r="B90" s="12" t="s">
        <v>222</v>
      </c>
      <c r="C90" s="13" t="s">
        <v>11</v>
      </c>
      <c r="D90" s="13" t="s">
        <v>35</v>
      </c>
      <c r="E90" s="13">
        <v>2750</v>
      </c>
      <c r="F90" s="13">
        <v>2022</v>
      </c>
      <c r="G90" s="14">
        <v>900000</v>
      </c>
      <c r="H90" s="15">
        <v>46252</v>
      </c>
      <c r="I90" s="13" t="s">
        <v>65</v>
      </c>
      <c r="J90" s="16">
        <v>3</v>
      </c>
      <c r="K90" s="16">
        <v>1</v>
      </c>
      <c r="L90" s="13">
        <v>1</v>
      </c>
      <c r="M90" s="16">
        <v>1</v>
      </c>
      <c r="N90" s="16">
        <v>696</v>
      </c>
      <c r="O90" s="16"/>
      <c r="P90" s="13">
        <v>50</v>
      </c>
      <c r="Q90" s="13">
        <v>0</v>
      </c>
      <c r="R90" s="12" t="s">
        <v>223</v>
      </c>
      <c r="S90" s="12" t="s">
        <v>183</v>
      </c>
    </row>
    <row r="91" spans="1:19" ht="20" customHeight="1">
      <c r="A91" s="13">
        <v>90</v>
      </c>
      <c r="B91" s="12" t="s">
        <v>224</v>
      </c>
      <c r="C91" s="13" t="s">
        <v>11</v>
      </c>
      <c r="D91" s="13" t="s">
        <v>35</v>
      </c>
      <c r="E91" s="13">
        <v>2750</v>
      </c>
      <c r="F91" s="13"/>
      <c r="G91" s="14">
        <v>600000</v>
      </c>
      <c r="H91" s="15">
        <v>46251</v>
      </c>
      <c r="I91" s="13" t="s">
        <v>36</v>
      </c>
      <c r="J91" s="16">
        <v>2</v>
      </c>
      <c r="K91" s="16">
        <v>2</v>
      </c>
      <c r="L91" s="13">
        <v>1</v>
      </c>
      <c r="M91" s="16">
        <v>1</v>
      </c>
      <c r="N91" s="16"/>
      <c r="O91" s="16"/>
      <c r="P91" s="13">
        <v>50</v>
      </c>
      <c r="Q91" s="13">
        <v>0</v>
      </c>
      <c r="R91" s="12" t="s">
        <v>225</v>
      </c>
      <c r="S91" s="12" t="s">
        <v>183</v>
      </c>
    </row>
    <row r="92" spans="1:19" ht="20" customHeight="1">
      <c r="A92" s="13">
        <v>91</v>
      </c>
      <c r="B92" s="12" t="s">
        <v>226</v>
      </c>
      <c r="C92" s="13" t="s">
        <v>11</v>
      </c>
      <c r="D92" s="13" t="s">
        <v>35</v>
      </c>
      <c r="E92" s="13">
        <v>2750</v>
      </c>
      <c r="F92" s="13"/>
      <c r="G92" s="14">
        <v>581000</v>
      </c>
      <c r="H92" s="15">
        <v>46251</v>
      </c>
      <c r="I92" s="13" t="s">
        <v>227</v>
      </c>
      <c r="J92" s="16">
        <v>2</v>
      </c>
      <c r="K92" s="16">
        <v>1</v>
      </c>
      <c r="L92" s="13">
        <v>1</v>
      </c>
      <c r="M92" s="16">
        <v>1</v>
      </c>
      <c r="N92" s="16"/>
      <c r="O92" s="16"/>
      <c r="P92" s="13">
        <v>50</v>
      </c>
      <c r="Q92" s="13">
        <v>0</v>
      </c>
      <c r="R92" s="12" t="s">
        <v>228</v>
      </c>
      <c r="S92" s="12" t="s">
        <v>183</v>
      </c>
    </row>
    <row r="93" spans="1:19" ht="20" customHeight="1">
      <c r="A93" s="13">
        <v>92</v>
      </c>
      <c r="B93" s="12" t="s">
        <v>229</v>
      </c>
      <c r="C93" s="13" t="s">
        <v>11</v>
      </c>
      <c r="D93" s="13" t="s">
        <v>35</v>
      </c>
      <c r="E93" s="13">
        <v>2750</v>
      </c>
      <c r="F93" s="13"/>
      <c r="G93" s="14">
        <v>510000</v>
      </c>
      <c r="H93" s="15">
        <v>46251</v>
      </c>
      <c r="I93" s="13" t="s">
        <v>72</v>
      </c>
      <c r="J93" s="16">
        <v>2</v>
      </c>
      <c r="K93" s="16">
        <v>1</v>
      </c>
      <c r="L93" s="13">
        <v>1</v>
      </c>
      <c r="M93" s="16">
        <v>1</v>
      </c>
      <c r="N93" s="16"/>
      <c r="O93" s="16"/>
      <c r="P93" s="13">
        <v>50</v>
      </c>
      <c r="Q93" s="13">
        <v>0</v>
      </c>
      <c r="R93" s="12" t="s">
        <v>230</v>
      </c>
      <c r="S93" s="12" t="s">
        <v>183</v>
      </c>
    </row>
    <row r="94" spans="1:19" ht="20" customHeight="1">
      <c r="A94" s="13">
        <v>93</v>
      </c>
      <c r="B94" s="12" t="s">
        <v>231</v>
      </c>
      <c r="C94" s="13" t="s">
        <v>11</v>
      </c>
      <c r="D94" s="13" t="s">
        <v>35</v>
      </c>
      <c r="E94" s="13">
        <v>2750</v>
      </c>
      <c r="F94" s="13"/>
      <c r="G94" s="14">
        <v>567000</v>
      </c>
      <c r="H94" s="15">
        <v>46248</v>
      </c>
      <c r="I94" s="13" t="s">
        <v>72</v>
      </c>
      <c r="J94" s="16">
        <v>2</v>
      </c>
      <c r="K94" s="16">
        <v>2</v>
      </c>
      <c r="L94" s="13">
        <v>1</v>
      </c>
      <c r="M94" s="16">
        <v>1</v>
      </c>
      <c r="N94" s="16"/>
      <c r="O94" s="16"/>
      <c r="P94" s="13">
        <v>50</v>
      </c>
      <c r="Q94" s="13">
        <v>0</v>
      </c>
      <c r="R94" s="12" t="s">
        <v>232</v>
      </c>
      <c r="S94" s="12" t="s">
        <v>183</v>
      </c>
    </row>
    <row r="95" spans="1:19" ht="20" customHeight="1">
      <c r="A95" s="13">
        <v>94</v>
      </c>
      <c r="B95" s="12" t="s">
        <v>233</v>
      </c>
      <c r="C95" s="13" t="s">
        <v>11</v>
      </c>
      <c r="D95" s="13" t="s">
        <v>35</v>
      </c>
      <c r="E95" s="13">
        <v>2750</v>
      </c>
      <c r="F95" s="13"/>
      <c r="G95" s="14">
        <v>510000</v>
      </c>
      <c r="H95" s="15">
        <v>46246</v>
      </c>
      <c r="I95" s="13" t="s">
        <v>36</v>
      </c>
      <c r="J95" s="16">
        <v>2</v>
      </c>
      <c r="K95" s="16">
        <v>1</v>
      </c>
      <c r="L95" s="13">
        <v>1</v>
      </c>
      <c r="M95" s="16">
        <v>1</v>
      </c>
      <c r="N95" s="16"/>
      <c r="O95" s="16"/>
      <c r="P95" s="13">
        <v>50</v>
      </c>
      <c r="Q95" s="13">
        <v>0</v>
      </c>
      <c r="R95" s="12" t="s">
        <v>234</v>
      </c>
      <c r="S95" s="12" t="s">
        <v>235</v>
      </c>
    </row>
    <row r="96" spans="1:19" ht="20" customHeight="1">
      <c r="A96" s="13">
        <v>95</v>
      </c>
      <c r="B96" s="12" t="s">
        <v>236</v>
      </c>
      <c r="C96" s="13" t="s">
        <v>11</v>
      </c>
      <c r="D96" s="13" t="s">
        <v>35</v>
      </c>
      <c r="E96" s="13">
        <v>2750</v>
      </c>
      <c r="F96" s="13"/>
      <c r="G96" s="14">
        <v>820000</v>
      </c>
      <c r="H96" s="15">
        <v>46245</v>
      </c>
      <c r="I96" s="13" t="s">
        <v>87</v>
      </c>
      <c r="J96" s="16">
        <v>3</v>
      </c>
      <c r="K96" s="16">
        <v>2</v>
      </c>
      <c r="L96" s="13">
        <v>1</v>
      </c>
      <c r="M96" s="16">
        <v>2</v>
      </c>
      <c r="N96" s="16"/>
      <c r="O96" s="16"/>
      <c r="P96" s="13">
        <v>50</v>
      </c>
      <c r="Q96" s="13">
        <v>0</v>
      </c>
      <c r="R96" s="12" t="s">
        <v>237</v>
      </c>
      <c r="S96" s="12" t="s">
        <v>235</v>
      </c>
    </row>
    <row r="97" spans="1:19" ht="20" customHeight="1">
      <c r="A97" s="13">
        <v>96</v>
      </c>
      <c r="B97" s="12" t="s">
        <v>238</v>
      </c>
      <c r="C97" s="13" t="s">
        <v>11</v>
      </c>
      <c r="D97" s="13" t="s">
        <v>35</v>
      </c>
      <c r="E97" s="13">
        <v>2750</v>
      </c>
      <c r="F97" s="13"/>
      <c r="G97" s="14">
        <v>595000</v>
      </c>
      <c r="H97" s="15">
        <v>46244</v>
      </c>
      <c r="I97" s="13" t="s">
        <v>36</v>
      </c>
      <c r="J97" s="16">
        <v>2</v>
      </c>
      <c r="K97" s="16">
        <v>2</v>
      </c>
      <c r="L97" s="13">
        <v>1</v>
      </c>
      <c r="M97" s="16">
        <v>1</v>
      </c>
      <c r="N97" s="16"/>
      <c r="O97" s="16"/>
      <c r="P97" s="13">
        <v>50</v>
      </c>
      <c r="Q97" s="13">
        <v>0</v>
      </c>
      <c r="R97" s="12" t="s">
        <v>239</v>
      </c>
      <c r="S97" s="12" t="s">
        <v>235</v>
      </c>
    </row>
    <row r="98" spans="1:19" ht="20" customHeight="1">
      <c r="A98" s="13">
        <v>97</v>
      </c>
      <c r="B98" s="12" t="s">
        <v>240</v>
      </c>
      <c r="C98" s="13" t="s">
        <v>11</v>
      </c>
      <c r="D98" s="13" t="s">
        <v>35</v>
      </c>
      <c r="E98" s="13">
        <v>2750</v>
      </c>
      <c r="F98" s="13"/>
      <c r="G98" s="14">
        <v>1060000</v>
      </c>
      <c r="H98" s="15">
        <v>46241</v>
      </c>
      <c r="I98" s="13" t="s">
        <v>65</v>
      </c>
      <c r="J98" s="16">
        <v>3</v>
      </c>
      <c r="K98" s="16">
        <v>2</v>
      </c>
      <c r="L98" s="13">
        <v>1</v>
      </c>
      <c r="M98" s="16">
        <v>1</v>
      </c>
      <c r="N98" s="16">
        <v>657.6</v>
      </c>
      <c r="O98" s="16"/>
      <c r="P98" s="13">
        <v>50</v>
      </c>
      <c r="Q98" s="13">
        <v>0</v>
      </c>
      <c r="R98" s="12" t="s">
        <v>241</v>
      </c>
      <c r="S98" s="12" t="s">
        <v>235</v>
      </c>
    </row>
    <row r="99" spans="1:19" ht="20" customHeight="1">
      <c r="A99" s="13">
        <v>98</v>
      </c>
      <c r="B99" s="12" t="s">
        <v>242</v>
      </c>
      <c r="C99" s="13" t="s">
        <v>11</v>
      </c>
      <c r="D99" s="13" t="s">
        <v>35</v>
      </c>
      <c r="E99" s="13">
        <v>2750</v>
      </c>
      <c r="F99" s="13"/>
      <c r="G99" s="14">
        <v>990000</v>
      </c>
      <c r="H99" s="15">
        <v>46241</v>
      </c>
      <c r="I99" s="13" t="s">
        <v>65</v>
      </c>
      <c r="J99" s="16">
        <v>3</v>
      </c>
      <c r="K99" s="16">
        <v>3</v>
      </c>
      <c r="L99" s="13">
        <v>1</v>
      </c>
      <c r="M99" s="16">
        <v>2</v>
      </c>
      <c r="N99" s="16">
        <v>299</v>
      </c>
      <c r="O99" s="16"/>
      <c r="P99" s="13">
        <v>50</v>
      </c>
      <c r="Q99" s="13">
        <v>0</v>
      </c>
      <c r="R99" s="12" t="s">
        <v>243</v>
      </c>
      <c r="S99" s="12" t="s">
        <v>235</v>
      </c>
    </row>
    <row r="100" spans="1:19" ht="20" customHeight="1">
      <c r="A100" s="13">
        <v>99</v>
      </c>
      <c r="B100" s="12" t="s">
        <v>244</v>
      </c>
      <c r="C100" s="13" t="s">
        <v>11</v>
      </c>
      <c r="D100" s="13" t="s">
        <v>35</v>
      </c>
      <c r="E100" s="13">
        <v>2750</v>
      </c>
      <c r="F100" s="13"/>
      <c r="G100" s="14">
        <v>640000</v>
      </c>
      <c r="H100" s="15">
        <v>46240</v>
      </c>
      <c r="I100" s="13" t="s">
        <v>36</v>
      </c>
      <c r="J100" s="16">
        <v>1</v>
      </c>
      <c r="K100" s="16">
        <v>1</v>
      </c>
      <c r="L100" s="13">
        <v>1</v>
      </c>
      <c r="M100" s="16">
        <v>1</v>
      </c>
      <c r="N100" s="16"/>
      <c r="O100" s="16"/>
      <c r="P100" s="13">
        <v>50</v>
      </c>
      <c r="Q100" s="13">
        <v>1</v>
      </c>
      <c r="R100" s="12" t="s">
        <v>245</v>
      </c>
      <c r="S100" s="12" t="s">
        <v>235</v>
      </c>
    </row>
    <row r="101" spans="1:19" ht="20" customHeight="1">
      <c r="A101" s="13">
        <v>100</v>
      </c>
      <c r="B101" s="12" t="s">
        <v>246</v>
      </c>
      <c r="C101" s="13" t="s">
        <v>11</v>
      </c>
      <c r="D101" s="13" t="s">
        <v>35</v>
      </c>
      <c r="E101" s="13">
        <v>2750</v>
      </c>
      <c r="F101" s="13"/>
      <c r="G101" s="14">
        <v>585000</v>
      </c>
      <c r="H101" s="15">
        <v>46240</v>
      </c>
      <c r="I101" s="13" t="s">
        <v>36</v>
      </c>
      <c r="J101" s="16">
        <v>1</v>
      </c>
      <c r="K101" s="16">
        <v>1</v>
      </c>
      <c r="L101" s="13">
        <v>1</v>
      </c>
      <c r="M101" s="16">
        <v>1</v>
      </c>
      <c r="N101" s="16"/>
      <c r="O101" s="16">
        <v>63</v>
      </c>
      <c r="P101" s="13">
        <v>50</v>
      </c>
      <c r="Q101" s="13">
        <v>0</v>
      </c>
      <c r="R101" s="12" t="s">
        <v>247</v>
      </c>
      <c r="S101" s="12" t="s">
        <v>235</v>
      </c>
    </row>
    <row r="102" spans="1:19" ht="20" customHeight="1">
      <c r="A102" s="13">
        <v>101</v>
      </c>
      <c r="B102" s="12" t="s">
        <v>248</v>
      </c>
      <c r="C102" s="13" t="s">
        <v>11</v>
      </c>
      <c r="D102" s="13" t="s">
        <v>35</v>
      </c>
      <c r="E102" s="13">
        <v>2750</v>
      </c>
      <c r="F102" s="13">
        <v>2016</v>
      </c>
      <c r="G102" s="14">
        <v>870000</v>
      </c>
      <c r="H102" s="15">
        <v>46238</v>
      </c>
      <c r="I102" s="13" t="s">
        <v>65</v>
      </c>
      <c r="J102" s="16">
        <v>2</v>
      </c>
      <c r="K102" s="16">
        <v>2</v>
      </c>
      <c r="L102" s="13">
        <v>1</v>
      </c>
      <c r="M102" s="16">
        <v>1</v>
      </c>
      <c r="N102" s="16"/>
      <c r="O102" s="16"/>
      <c r="P102" s="13">
        <v>50</v>
      </c>
      <c r="Q102" s="13">
        <v>0</v>
      </c>
      <c r="R102" s="12" t="s">
        <v>249</v>
      </c>
      <c r="S102" s="12" t="s">
        <v>235</v>
      </c>
    </row>
    <row r="103" spans="1:19" ht="20" customHeight="1">
      <c r="A103" s="13">
        <v>102</v>
      </c>
      <c r="B103" s="12" t="s">
        <v>250</v>
      </c>
      <c r="C103" s="13" t="s">
        <v>11</v>
      </c>
      <c r="D103" s="13" t="s">
        <v>35</v>
      </c>
      <c r="E103" s="13">
        <v>2750</v>
      </c>
      <c r="F103" s="13"/>
      <c r="G103" s="14">
        <v>802000</v>
      </c>
      <c r="H103" s="15">
        <v>46232</v>
      </c>
      <c r="I103" s="13" t="s">
        <v>65</v>
      </c>
      <c r="J103" s="16">
        <v>4</v>
      </c>
      <c r="K103" s="16">
        <v>2</v>
      </c>
      <c r="L103" s="13">
        <v>1</v>
      </c>
      <c r="M103" s="16">
        <v>1</v>
      </c>
      <c r="N103" s="16"/>
      <c r="O103" s="16"/>
      <c r="P103" s="13">
        <v>50</v>
      </c>
      <c r="Q103" s="13">
        <v>0</v>
      </c>
      <c r="R103" s="12" t="s">
        <v>251</v>
      </c>
      <c r="S103" s="12" t="s">
        <v>235</v>
      </c>
    </row>
  </sheetData>
  <hyperlinks>
    <hyperlink ref="R14" r:id="rId1" xr:uid="{547EE19E-1A25-754F-B2B5-23C558DD86C5}"/>
    <hyperlink ref="R10" r:id="rId2" xr:uid="{CE4CAC5E-AFC1-904D-AA1A-6AF70BDD559A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Sold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 Sharma</cp:lastModifiedBy>
  <dcterms:created xsi:type="dcterms:W3CDTF">2026-09-17T11:01:13Z</dcterms:created>
  <dcterms:modified xsi:type="dcterms:W3CDTF">2026-09-18T10:27:30Z</dcterms:modified>
</cp:coreProperties>
</file>